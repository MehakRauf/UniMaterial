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HK\MHK\D1\Downloads\"/>
    </mc:Choice>
  </mc:AlternateContent>
  <xr:revisionPtr revIDLastSave="0" documentId="13_ncr:1_{E3960915-2091-4141-8DC4-62AD30F80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egW/MrePQXdUaqceFayFlfvTnlQ=="/>
    </ext>
  </extLst>
</workbook>
</file>

<file path=xl/calcChain.xml><?xml version="1.0" encoding="utf-8"?>
<calcChain xmlns="http://schemas.openxmlformats.org/spreadsheetml/2006/main">
  <c r="F72" i="1" l="1"/>
  <c r="H72" i="1" s="1"/>
  <c r="F61" i="1"/>
  <c r="F63" i="1"/>
  <c r="H63" i="1" s="1"/>
  <c r="F64" i="1"/>
  <c r="H64" i="1" s="1"/>
  <c r="G50" i="1"/>
  <c r="F51" i="1"/>
  <c r="G51" i="1" s="1"/>
  <c r="F53" i="1"/>
  <c r="H53" i="1" s="1"/>
  <c r="F54" i="1"/>
  <c r="H54" i="1" s="1"/>
  <c r="F84" i="1"/>
  <c r="H84" i="1" s="1"/>
  <c r="F83" i="1"/>
  <c r="G83" i="1" s="1"/>
  <c r="G82" i="1"/>
  <c r="F82" i="1"/>
  <c r="H82" i="1" s="1"/>
  <c r="F81" i="1"/>
  <c r="H81" i="1" s="1"/>
  <c r="F80" i="1"/>
  <c r="H80" i="1" s="1"/>
  <c r="F79" i="1"/>
  <c r="H79" i="1" s="1"/>
  <c r="H74" i="1"/>
  <c r="F73" i="1"/>
  <c r="G73" i="1" s="1"/>
  <c r="H71" i="1"/>
  <c r="F70" i="1"/>
  <c r="H70" i="1" s="1"/>
  <c r="H69" i="1"/>
  <c r="G69" i="1"/>
  <c r="F62" i="1"/>
  <c r="H62" i="1" s="1"/>
  <c r="G61" i="1"/>
  <c r="F60" i="1"/>
  <c r="H60" i="1" s="1"/>
  <c r="F59" i="1"/>
  <c r="H59" i="1" s="1"/>
  <c r="H52" i="1"/>
  <c r="H49" i="1"/>
  <c r="H43" i="1"/>
  <c r="H42" i="1"/>
  <c r="H41" i="1"/>
  <c r="G40" i="1"/>
  <c r="H39" i="1"/>
  <c r="H34" i="1"/>
  <c r="G33" i="1"/>
  <c r="H32" i="1"/>
  <c r="H31" i="1"/>
  <c r="H30" i="1"/>
  <c r="H29" i="1"/>
  <c r="G24" i="1"/>
  <c r="H23" i="1"/>
  <c r="G22" i="1"/>
  <c r="G21" i="1"/>
  <c r="H20" i="1"/>
  <c r="H19" i="1"/>
  <c r="H14" i="1"/>
  <c r="G13" i="1"/>
  <c r="G12" i="1"/>
  <c r="G11" i="1"/>
  <c r="H10" i="1"/>
  <c r="G9" i="1"/>
  <c r="G8" i="1"/>
  <c r="G43" i="1" l="1"/>
  <c r="H40" i="1"/>
  <c r="G39" i="1"/>
  <c r="G31" i="1"/>
  <c r="H21" i="1"/>
  <c r="G70" i="1"/>
  <c r="H83" i="1"/>
  <c r="H12" i="1"/>
  <c r="G81" i="1"/>
  <c r="G79" i="1"/>
  <c r="G80" i="1"/>
  <c r="G84" i="1"/>
  <c r="G72" i="1"/>
  <c r="H73" i="1"/>
  <c r="G71" i="1"/>
  <c r="G74" i="1"/>
  <c r="G59" i="1"/>
  <c r="G64" i="1"/>
  <c r="G60" i="1"/>
  <c r="H50" i="1"/>
  <c r="G49" i="1"/>
  <c r="H51" i="1"/>
  <c r="H8" i="1"/>
  <c r="G30" i="1"/>
  <c r="G34" i="1"/>
  <c r="H13" i="1"/>
  <c r="H22" i="1"/>
  <c r="G29" i="1"/>
  <c r="G41" i="1"/>
  <c r="H9" i="1"/>
  <c r="G53" i="1"/>
  <c r="G63" i="1"/>
  <c r="H61" i="1"/>
  <c r="G62" i="1"/>
  <c r="G52" i="1"/>
  <c r="G42" i="1"/>
  <c r="G19" i="1"/>
  <c r="G20" i="1"/>
  <c r="H11" i="1"/>
  <c r="G14" i="1"/>
  <c r="G23" i="1"/>
  <c r="H24" i="1"/>
  <c r="G32" i="1"/>
  <c r="H33" i="1"/>
  <c r="G54" i="1"/>
  <c r="G10" i="1"/>
  <c r="I8" i="1" s="1"/>
  <c r="I29" i="1" l="1"/>
  <c r="I79" i="1"/>
  <c r="I69" i="1"/>
  <c r="I59" i="1"/>
  <c r="I39" i="1"/>
  <c r="I49" i="1"/>
  <c r="I19" i="1"/>
  <c r="K6" i="1" l="1"/>
  <c r="K4" i="1"/>
</calcChain>
</file>

<file path=xl/sharedStrings.xml><?xml version="1.0" encoding="utf-8"?>
<sst xmlns="http://schemas.openxmlformats.org/spreadsheetml/2006/main" count="230" uniqueCount="157">
  <si>
    <t>CGPA CALCULATOR - DCS UBIT</t>
  </si>
  <si>
    <t>TOTAL</t>
  </si>
  <si>
    <t>FIRST SEMESTER</t>
  </si>
  <si>
    <t>Code</t>
  </si>
  <si>
    <t>Course</t>
  </si>
  <si>
    <t>Instructor</t>
  </si>
  <si>
    <t>Theory</t>
  </si>
  <si>
    <t>Lab</t>
  </si>
  <si>
    <t xml:space="preserve">Total </t>
  </si>
  <si>
    <t>GPA</t>
  </si>
  <si>
    <t>Grade</t>
  </si>
  <si>
    <t>CGPA</t>
  </si>
  <si>
    <t>BSCS 301</t>
  </si>
  <si>
    <t>Introduction to Computer Science I</t>
  </si>
  <si>
    <t>BSCS 303</t>
  </si>
  <si>
    <t>Mathematics I (Calculus)</t>
  </si>
  <si>
    <t>BSCS 305</t>
  </si>
  <si>
    <t>Statistics &amp; Data Analysis</t>
  </si>
  <si>
    <t>BSCS 307</t>
  </si>
  <si>
    <t>Physics I (General Physics)</t>
  </si>
  <si>
    <t>BSCS 309</t>
  </si>
  <si>
    <t>English</t>
  </si>
  <si>
    <t>BSCS 311</t>
  </si>
  <si>
    <t>Islamic Learning</t>
  </si>
  <si>
    <t>BSCS 313</t>
  </si>
  <si>
    <t>Pakistan Studies</t>
  </si>
  <si>
    <t>SECOND SEMESTER</t>
  </si>
  <si>
    <t>Total</t>
  </si>
  <si>
    <t>BSCS 302</t>
  </si>
  <si>
    <t>Introduction to Computer Science II</t>
  </si>
  <si>
    <t>BSCS 304</t>
  </si>
  <si>
    <t>Mathematics II (Differential Equations)</t>
  </si>
  <si>
    <t>BSCS 306</t>
  </si>
  <si>
    <t>Probability &amp; Statistical Method</t>
  </si>
  <si>
    <t>BSCS 308</t>
  </si>
  <si>
    <t>Physics II (Electricity &amp; Magnetism)</t>
  </si>
  <si>
    <t>BSCS 310</t>
  </si>
  <si>
    <t>BSCS 312</t>
  </si>
  <si>
    <t>Urdu Humanities</t>
  </si>
  <si>
    <t>THIRD SEMESTER</t>
  </si>
  <si>
    <t>BSCS 401</t>
  </si>
  <si>
    <t>Digital Computers Design Fundamentals</t>
  </si>
  <si>
    <t>BSCS 403</t>
  </si>
  <si>
    <t>Assembly Language Programming</t>
  </si>
  <si>
    <t>BSCS 405</t>
  </si>
  <si>
    <t>BSCS 409</t>
  </si>
  <si>
    <t>Material Semi-Conductors &amp; Devices</t>
  </si>
  <si>
    <t>BSCS 411</t>
  </si>
  <si>
    <t>Discrete Mathematics</t>
  </si>
  <si>
    <t>BSCS 413</t>
  </si>
  <si>
    <t>Object Oriented Programming</t>
  </si>
  <si>
    <t>FOURTH SEMESTER</t>
  </si>
  <si>
    <t>Electronics</t>
  </si>
  <si>
    <t>FIFTH SEMESTER</t>
  </si>
  <si>
    <t>Theory of Computer Science</t>
  </si>
  <si>
    <t>Aritificial Intelligence</t>
  </si>
  <si>
    <t>SIXTH SEMESTER</t>
  </si>
  <si>
    <t>Compiler Construction</t>
  </si>
  <si>
    <t>Modeling and simulation</t>
  </si>
  <si>
    <t>Computer Graphics</t>
  </si>
  <si>
    <t>BSCS 520</t>
  </si>
  <si>
    <t>Advanced Software Engineering</t>
  </si>
  <si>
    <t>BSCS 514</t>
  </si>
  <si>
    <t>Data communication and Networking-I</t>
  </si>
  <si>
    <t>Data communication and Networking-II</t>
  </si>
  <si>
    <t>BSCS 512</t>
  </si>
  <si>
    <t>BSCS 506</t>
  </si>
  <si>
    <t>BSCS 504</t>
  </si>
  <si>
    <t>Concepts of Operating System</t>
  </si>
  <si>
    <t>BSCS 502</t>
  </si>
  <si>
    <t>BSCS 611</t>
  </si>
  <si>
    <t>BSCS 613</t>
  </si>
  <si>
    <t>BSCS 633</t>
  </si>
  <si>
    <t>BSCS 631</t>
  </si>
  <si>
    <t>BSCS 635</t>
  </si>
  <si>
    <t>Network Security &amp; Cryptography</t>
  </si>
  <si>
    <t>Data Warehouse &amp; Data Mining</t>
  </si>
  <si>
    <t>Parallel Computing</t>
  </si>
  <si>
    <t>Management Information System</t>
  </si>
  <si>
    <t>Internet Application Development</t>
  </si>
  <si>
    <t>Dr. Syed Asim Ali</t>
  </si>
  <si>
    <t xml:space="preserve">Dr. M. Sadiq Ali Khan </t>
  </si>
  <si>
    <t>Ms. Maryam Feroz</t>
  </si>
  <si>
    <t>Dr. Muhammad Saeed</t>
  </si>
  <si>
    <t>Dr. Humera Tariq</t>
  </si>
  <si>
    <t>SEVENTH SEMESTER</t>
  </si>
  <si>
    <t>BSCS</t>
  </si>
  <si>
    <t>EIGHTH SEMESTER</t>
  </si>
  <si>
    <t xml:space="preserve"> Mr Badar Sami</t>
  </si>
  <si>
    <t>Dr Noor Fatima Siddiqui</t>
  </si>
  <si>
    <t>Dr Muddasir Uddin</t>
  </si>
  <si>
    <t>Mr M. Ali Qureshi</t>
  </si>
  <si>
    <t>Ms Bint E Zehra</t>
  </si>
  <si>
    <t>Dr Azhar Saeed</t>
  </si>
  <si>
    <t>Ms Humera Muzaffer</t>
  </si>
  <si>
    <t xml:space="preserve">Mr Badar Sami </t>
  </si>
  <si>
    <t xml:space="preserve">Dr Noor Fatima Siddiqui </t>
  </si>
  <si>
    <t>Dr Zeeshan Iqbal</t>
  </si>
  <si>
    <t xml:space="preserve">Ms Erum Shahid </t>
  </si>
  <si>
    <t>Dr Tahmina Abbas</t>
  </si>
  <si>
    <t>Mr Hussain Saleem</t>
  </si>
  <si>
    <t>Ms Uzma</t>
  </si>
  <si>
    <t>Ms Saima Ashraf</t>
  </si>
  <si>
    <t>Mr Mukesh Kumar Rathi</t>
  </si>
  <si>
    <t>Mathematics III (Linear Algebra &amp; Analytical Geometry)</t>
  </si>
  <si>
    <t>Data Structures</t>
  </si>
  <si>
    <t>System Design With Microprocessor</t>
  </si>
  <si>
    <t>Mathematics (Numberical Analysis &amp; Computing)</t>
  </si>
  <si>
    <t>Software Engneering &amp; Project Management</t>
  </si>
  <si>
    <t>Communication Skills &amp; Report Writing</t>
  </si>
  <si>
    <t>Ms Maryam Feroz</t>
  </si>
  <si>
    <t>Mr Taha Bin Niaz</t>
  </si>
  <si>
    <t>Dr Noor Fatima Siddique</t>
  </si>
  <si>
    <t>Mr Abdul Bari Ahmed Khan</t>
  </si>
  <si>
    <t>Ms Farheen Faisal Siddiqui</t>
  </si>
  <si>
    <t>Dr S M Khalid Jamal</t>
  </si>
  <si>
    <t>Operational Research</t>
  </si>
  <si>
    <t>Database Management System</t>
  </si>
  <si>
    <t>Computer Architecture and Organization</t>
  </si>
  <si>
    <t>Ms Madiha Khurram</t>
  </si>
  <si>
    <t>Dr Shaista Raees</t>
  </si>
  <si>
    <t>Dr Nadeem Mahmood</t>
  </si>
  <si>
    <t>Dr Humera Bashir</t>
  </si>
  <si>
    <t>A+</t>
  </si>
  <si>
    <t>Dr. Khalid Jamal</t>
  </si>
  <si>
    <t>BSCS 655</t>
  </si>
  <si>
    <t>Miss Madiha Khurram</t>
  </si>
  <si>
    <t>Dr. Shaista Rais</t>
  </si>
  <si>
    <t>Dr. Humera Bashir</t>
  </si>
  <si>
    <t>Dr. Nadeem Mahmood</t>
  </si>
  <si>
    <t>Dr. Sadiq</t>
  </si>
  <si>
    <t>Design and Analysis of Algorithms</t>
  </si>
  <si>
    <t>Sir Farid Alvi</t>
  </si>
  <si>
    <t>Sir Nadeem Mahmood</t>
  </si>
  <si>
    <t>Distributed Database Systems</t>
  </si>
  <si>
    <t>Financial Management</t>
  </si>
  <si>
    <t>Sir Mairaj</t>
  </si>
  <si>
    <t>Neural Network and Fuzzy Logic</t>
  </si>
  <si>
    <t xml:space="preserve">Sir Adnan </t>
  </si>
  <si>
    <t>Human and Computer Interaction</t>
  </si>
  <si>
    <t>Dr. Asim Ali</t>
  </si>
  <si>
    <t>FYP II</t>
  </si>
  <si>
    <t>FYP I</t>
  </si>
  <si>
    <t xml:space="preserve">Dr. Farhan Ahmed </t>
  </si>
  <si>
    <t>BSCS 402</t>
  </si>
  <si>
    <t>BSCS 404</t>
  </si>
  <si>
    <t>BSCS 406</t>
  </si>
  <si>
    <t>BSCS 410</t>
  </si>
  <si>
    <t>BSCS 414</t>
  </si>
  <si>
    <t>BSCS 501</t>
  </si>
  <si>
    <t>BSCS 503</t>
  </si>
  <si>
    <t>BSCS 507</t>
  </si>
  <si>
    <t>BSCS 509</t>
  </si>
  <si>
    <t>BSCS 515</t>
  </si>
  <si>
    <t>BSCS 511</t>
  </si>
  <si>
    <t>BSCS 412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</si>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</sst>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2"/>
      <color theme="0"/>
      <name val="Arial Black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2"/>
      <color rgb="FF002060"/>
      <name val="Calibri"/>
      <family val="2"/>
    </font>
    <font>
      <sz val="11"/>
      <color rgb="FF002060"/>
      <name val="Calibri"/>
      <family val="2"/>
    </font>
    <font>
      <b/>
      <sz val="22"/>
      <color rgb="FF00206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1273"/>
        <bgColor rgb="FFFFE598"/>
      </patternFill>
    </fill>
    <fill>
      <patternFill patternType="solid">
        <fgColor rgb="FFE81273"/>
        <bgColor indexed="64"/>
      </patternFill>
    </fill>
    <fill>
      <patternFill patternType="solid">
        <fgColor rgb="FF2AC81E"/>
        <bgColor rgb="FFB4C6E7"/>
      </patternFill>
    </fill>
    <fill>
      <patternFill patternType="solid">
        <fgColor rgb="FF2AC81E"/>
        <bgColor indexed="64"/>
      </patternFill>
    </fill>
    <fill>
      <patternFill patternType="solid">
        <fgColor rgb="FFC7273E"/>
        <bgColor rgb="FFC5E0B3"/>
      </patternFill>
    </fill>
    <fill>
      <patternFill patternType="solid">
        <fgColor rgb="FFC7273E"/>
        <bgColor indexed="64"/>
      </patternFill>
    </fill>
    <fill>
      <patternFill patternType="solid">
        <fgColor rgb="FF18CED2"/>
        <bgColor rgb="FFC5E0B3"/>
      </patternFill>
    </fill>
    <fill>
      <patternFill patternType="solid">
        <fgColor rgb="FF18CED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7" fillId="7" borderId="0" applyNumberFormat="0" applyBorder="0" applyAlignment="0" applyProtection="0"/>
    <xf numFmtId="0" fontId="10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164" fontId="5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4" fillId="4" borderId="15" xfId="0" applyFont="1" applyFill="1" applyBorder="1"/>
    <xf numFmtId="0" fontId="4" fillId="4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9" fillId="7" borderId="0" xfId="1" applyFont="1"/>
    <xf numFmtId="0" fontId="8" fillId="4" borderId="15" xfId="0" applyFont="1" applyFill="1" applyBorder="1"/>
    <xf numFmtId="0" fontId="0" fillId="0" borderId="8" xfId="0" applyBorder="1"/>
    <xf numFmtId="0" fontId="10" fillId="8" borderId="0" xfId="2"/>
    <xf numFmtId="164" fontId="0" fillId="19" borderId="0" xfId="5" applyFont="1" applyFill="1"/>
    <xf numFmtId="0" fontId="11" fillId="17" borderId="10" xfId="0" applyFont="1" applyFill="1" applyBorder="1" applyAlignment="1">
      <alignment horizontal="center"/>
    </xf>
    <xf numFmtId="0" fontId="12" fillId="18" borderId="11" xfId="0" applyFont="1" applyFill="1" applyBorder="1"/>
    <xf numFmtId="0" fontId="12" fillId="18" borderId="12" xfId="0" applyFont="1" applyFill="1" applyBorder="1"/>
    <xf numFmtId="0" fontId="12" fillId="18" borderId="13" xfId="0" applyFont="1" applyFill="1" applyBorder="1"/>
    <xf numFmtId="0" fontId="12" fillId="18" borderId="9" xfId="0" applyFont="1" applyFill="1" applyBorder="1"/>
    <xf numFmtId="0" fontId="12" fillId="18" borderId="14" xfId="0" applyFont="1" applyFill="1" applyBorder="1"/>
    <xf numFmtId="0" fontId="4" fillId="4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/>
    </xf>
    <xf numFmtId="0" fontId="3" fillId="0" borderId="9" xfId="0" applyFont="1" applyBorder="1"/>
    <xf numFmtId="0" fontId="11" fillId="11" borderId="10" xfId="0" applyFont="1" applyFill="1" applyBorder="1" applyAlignment="1">
      <alignment horizontal="center" vertical="center"/>
    </xf>
    <xf numFmtId="0" fontId="12" fillId="12" borderId="11" xfId="0" applyFont="1" applyFill="1" applyBorder="1"/>
    <xf numFmtId="0" fontId="12" fillId="12" borderId="12" xfId="0" applyFont="1" applyFill="1" applyBorder="1"/>
    <xf numFmtId="0" fontId="12" fillId="12" borderId="13" xfId="0" applyFont="1" applyFill="1" applyBorder="1"/>
    <xf numFmtId="0" fontId="12" fillId="12" borderId="9" xfId="0" applyFont="1" applyFill="1" applyBorder="1"/>
    <xf numFmtId="0" fontId="12" fillId="12" borderId="14" xfId="0" applyFont="1" applyFill="1" applyBorder="1"/>
    <xf numFmtId="0" fontId="4" fillId="0" borderId="20" xfId="0" applyFont="1" applyBorder="1" applyAlignment="1">
      <alignment horizontal="center"/>
    </xf>
    <xf numFmtId="0" fontId="3" fillId="0" borderId="20" xfId="0" applyFont="1" applyBorder="1"/>
    <xf numFmtId="0" fontId="11" fillId="13" borderId="10" xfId="0" applyFont="1" applyFill="1" applyBorder="1" applyAlignment="1">
      <alignment horizontal="center" vertical="center"/>
    </xf>
    <xf numFmtId="0" fontId="12" fillId="14" borderId="11" xfId="0" applyFont="1" applyFill="1" applyBorder="1"/>
    <xf numFmtId="0" fontId="12" fillId="14" borderId="12" xfId="0" applyFont="1" applyFill="1" applyBorder="1"/>
    <xf numFmtId="0" fontId="12" fillId="14" borderId="13" xfId="0" applyFont="1" applyFill="1" applyBorder="1"/>
    <xf numFmtId="0" fontId="12" fillId="14" borderId="9" xfId="0" applyFont="1" applyFill="1" applyBorder="1"/>
    <xf numFmtId="0" fontId="12" fillId="14" borderId="14" xfId="0" applyFont="1" applyFill="1" applyBorder="1"/>
    <xf numFmtId="0" fontId="4" fillId="0" borderId="11" xfId="0" applyFont="1" applyBorder="1" applyAlignment="1">
      <alignment horizontal="center"/>
    </xf>
    <xf numFmtId="0" fontId="3" fillId="0" borderId="11" xfId="0" applyFont="1" applyBorder="1"/>
    <xf numFmtId="0" fontId="11" fillId="15" borderId="10" xfId="0" applyFont="1" applyFill="1" applyBorder="1" applyAlignment="1">
      <alignment horizontal="center"/>
    </xf>
    <xf numFmtId="0" fontId="12" fillId="16" borderId="11" xfId="0" applyFont="1" applyFill="1" applyBorder="1"/>
    <xf numFmtId="0" fontId="12" fillId="16" borderId="12" xfId="0" applyFont="1" applyFill="1" applyBorder="1"/>
    <xf numFmtId="0" fontId="12" fillId="16" borderId="13" xfId="0" applyFont="1" applyFill="1" applyBorder="1"/>
    <xf numFmtId="0" fontId="12" fillId="16" borderId="9" xfId="0" applyFont="1" applyFill="1" applyBorder="1"/>
    <xf numFmtId="0" fontId="12" fillId="16" borderId="14" xfId="0" applyFont="1" applyFill="1" applyBorder="1"/>
    <xf numFmtId="0" fontId="11" fillId="5" borderId="10" xfId="0" applyFont="1" applyFill="1" applyBorder="1" applyAlignment="1">
      <alignment horizontal="center"/>
    </xf>
    <xf numFmtId="0" fontId="12" fillId="6" borderId="11" xfId="0" applyFont="1" applyFill="1" applyBorder="1"/>
    <xf numFmtId="0" fontId="12" fillId="6" borderId="12" xfId="0" applyFont="1" applyFill="1" applyBorder="1"/>
    <xf numFmtId="0" fontId="12" fillId="6" borderId="13" xfId="0" applyFont="1" applyFill="1" applyBorder="1"/>
    <xf numFmtId="0" fontId="12" fillId="6" borderId="9" xfId="0" applyFont="1" applyFill="1" applyBorder="1"/>
    <xf numFmtId="0" fontId="12" fillId="6" borderId="14" xfId="0" applyFont="1" applyFill="1" applyBorder="1"/>
    <xf numFmtId="0" fontId="13" fillId="20" borderId="10" xfId="3" applyFont="1" applyFill="1" applyBorder="1" applyAlignment="1">
      <alignment horizontal="center"/>
    </xf>
    <xf numFmtId="0" fontId="13" fillId="20" borderId="11" xfId="3" applyFont="1" applyFill="1" applyBorder="1"/>
    <xf numFmtId="0" fontId="13" fillId="20" borderId="12" xfId="3" applyFont="1" applyFill="1" applyBorder="1"/>
    <xf numFmtId="0" fontId="13" fillId="20" borderId="13" xfId="3" applyFont="1" applyFill="1" applyBorder="1"/>
    <xf numFmtId="0" fontId="13" fillId="20" borderId="9" xfId="3" applyFont="1" applyFill="1" applyBorder="1"/>
    <xf numFmtId="0" fontId="13" fillId="20" borderId="14" xfId="3" applyFont="1" applyFill="1" applyBorder="1"/>
    <xf numFmtId="0" fontId="13" fillId="21" borderId="10" xfId="4" applyFont="1" applyFill="1" applyBorder="1" applyAlignment="1">
      <alignment horizontal="center"/>
    </xf>
    <xf numFmtId="0" fontId="13" fillId="21" borderId="11" xfId="4" applyFont="1" applyFill="1" applyBorder="1"/>
    <xf numFmtId="0" fontId="13" fillId="21" borderId="12" xfId="4" applyFont="1" applyFill="1" applyBorder="1"/>
    <xf numFmtId="0" fontId="13" fillId="21" borderId="13" xfId="4" applyFont="1" applyFill="1" applyBorder="1"/>
    <xf numFmtId="0" fontId="13" fillId="21" borderId="9" xfId="4" applyFont="1" applyFill="1" applyBorder="1"/>
    <xf numFmtId="0" fontId="13" fillId="21" borderId="14" xfId="4" applyFont="1" applyFill="1" applyBorder="1"/>
  </cellXfs>
  <cellStyles count="6">
    <cellStyle name="60% - Accent1" xfId="3" builtinId="32"/>
    <cellStyle name="60% - Accent6" xfId="4" builtinId="52"/>
    <cellStyle name="Bad" xfId="2" builtinId="27"/>
    <cellStyle name="Currency" xfId="5" builtinId="4"/>
    <cellStyle name="Good" xfId="1" builtinId="26"/>
    <cellStyle name="Normal" xfId="0" builtinId="0"/>
  </cellStyles>
  <dxfs count="8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colors>
    <mruColors>
      <color rgb="FFC7273E"/>
      <color rgb="FFD2182A"/>
      <color rgb="FFD12705"/>
      <color rgb="FF76199F"/>
      <color rgb="FF18CED2"/>
      <color rgb="FFE4E90D"/>
      <color rgb="FF2AC81E"/>
      <color rgb="FFE81273"/>
      <color rgb="FF5ADCB1"/>
      <color rgb="FF1C86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148" zoomScale="98" zoomScaleNormal="106" workbookViewId="0">
      <selection activeCell="D72" sqref="D72"/>
    </sheetView>
  </sheetViews>
  <sheetFormatPr defaultColWidth="14.44140625" defaultRowHeight="15" customHeight="1" x14ac:dyDescent="0.3"/>
  <cols>
    <col min="1" max="1" width="8.6640625" customWidth="1"/>
    <col min="2" max="2" width="48.88671875" customWidth="1"/>
    <col min="3" max="3" width="26.44140625" customWidth="1"/>
    <col min="4" max="4" width="7.109375" customWidth="1"/>
    <col min="5" max="5" width="5.5546875" customWidth="1"/>
    <col min="6" max="6" width="7.44140625" customWidth="1"/>
    <col min="7" max="7" width="7" customWidth="1"/>
    <col min="8" max="8" width="8" customWidth="1"/>
    <col min="9" max="9" width="9.33203125" customWidth="1"/>
    <col min="10" max="10" width="19.6640625" customWidth="1"/>
    <col min="11" max="26" width="8.6640625" customWidth="1"/>
  </cols>
  <sheetData>
    <row r="1" spans="1:12" ht="1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3"/>
    </row>
    <row r="2" spans="1:12" ht="15" customHeight="1" x14ac:dyDescent="0.3">
      <c r="A2" s="24"/>
      <c r="B2" s="25"/>
      <c r="C2" s="25"/>
      <c r="D2" s="25"/>
      <c r="E2" s="25"/>
      <c r="F2" s="25"/>
      <c r="G2" s="25"/>
      <c r="H2" s="25"/>
      <c r="I2" s="26"/>
    </row>
    <row r="3" spans="1:12" ht="14.4" x14ac:dyDescent="0.3">
      <c r="A3" s="27"/>
      <c r="B3" s="28"/>
      <c r="C3" s="28"/>
      <c r="D3" s="28"/>
      <c r="E3" s="28"/>
      <c r="F3" s="28"/>
      <c r="G3" s="28"/>
      <c r="H3" s="28"/>
      <c r="I3" s="29"/>
    </row>
    <row r="4" spans="1:12" ht="14.4" x14ac:dyDescent="0.3">
      <c r="A4" s="30"/>
      <c r="B4" s="31"/>
      <c r="C4" s="31"/>
      <c r="D4" s="31"/>
      <c r="E4" s="31"/>
      <c r="F4" s="31"/>
      <c r="G4" s="31"/>
      <c r="H4" s="31"/>
      <c r="I4" s="31"/>
      <c r="J4" s="7" t="s">
        <v>1</v>
      </c>
      <c r="K4" s="1">
        <f>(I8+I19+I29+I39+I49+I59+I69)/7</f>
        <v>3.7114285714285713</v>
      </c>
    </row>
    <row r="5" spans="1:12" ht="14.4" x14ac:dyDescent="0.3">
      <c r="A5" s="32" t="s">
        <v>2</v>
      </c>
      <c r="B5" s="33"/>
      <c r="C5" s="33"/>
      <c r="D5" s="33"/>
      <c r="E5" s="33"/>
      <c r="F5" s="33"/>
      <c r="G5" s="33"/>
      <c r="H5" s="33"/>
      <c r="I5" s="34"/>
    </row>
    <row r="6" spans="1:12" ht="14.4" x14ac:dyDescent="0.3">
      <c r="A6" s="35"/>
      <c r="B6" s="36"/>
      <c r="C6" s="36"/>
      <c r="D6" s="36"/>
      <c r="E6" s="36"/>
      <c r="F6" s="36"/>
      <c r="G6" s="36"/>
      <c r="H6" s="36"/>
      <c r="I6" s="37"/>
      <c r="J6" s="7" t="s">
        <v>156</v>
      </c>
      <c r="K6">
        <f>(I8+I19+I29+I39+I49+I59+I69+I79)/8</f>
        <v>3.2475000000000001</v>
      </c>
      <c r="L6" s="11"/>
    </row>
    <row r="7" spans="1:12" ht="14.4" x14ac:dyDescent="0.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3" t="s">
        <v>8</v>
      </c>
      <c r="G7" s="2" t="s">
        <v>9</v>
      </c>
      <c r="H7" s="2" t="s">
        <v>10</v>
      </c>
      <c r="I7" s="2" t="s">
        <v>11</v>
      </c>
    </row>
    <row r="8" spans="1:12" ht="14.4" x14ac:dyDescent="0.3">
      <c r="A8" s="4" t="s">
        <v>12</v>
      </c>
      <c r="B8" s="4" t="s">
        <v>13</v>
      </c>
      <c r="C8" s="4" t="s">
        <v>88</v>
      </c>
      <c r="D8" s="5">
        <v>67</v>
      </c>
      <c r="E8" s="5">
        <v>16</v>
      </c>
      <c r="F8" s="5">
        <v>83</v>
      </c>
      <c r="G8" s="5">
        <f t="shared" ref="G8:G14" si="0">IF(F8&lt;50, 0, IF(F8&lt;53, 1, IF(F8&lt;57, 1.4, IF(F8&lt;61, 1.8, IF(F8&lt;64, 2, IF(F8&lt;68, 2.4, IF(F8&lt;71, 2.8, IF(F8&lt;75, 3, IF(F8&lt;80, 3.4, IF(F8&lt;85, 3.8, 4))))))))))</f>
        <v>3.8</v>
      </c>
      <c r="H8" s="5" t="str">
        <f t="shared" ref="H8:H14" si="1">IF(F8&lt;50,"FAILS",IF(F8&lt;53,"D",IF(F8&lt;57,"D+",IF(F8&lt;61,"C-",IF(F8&lt;64,"C",IF(F8&lt;68,"C+",IF(F8&lt;71,"B-",IF(F8&lt;75,"B",IF(F8&lt;80,"B+",IF(F8&lt;85,"A-",IF(F8&lt;90,"A","A+")))))))))))</f>
        <v>A-</v>
      </c>
      <c r="I8" s="18">
        <f>ROUND(AVERAGE(G8:G14),2)</f>
        <v>3.83</v>
      </c>
    </row>
    <row r="9" spans="1:12" ht="14.4" x14ac:dyDescent="0.3">
      <c r="A9" s="4" t="s">
        <v>14</v>
      </c>
      <c r="B9" s="4" t="s">
        <v>15</v>
      </c>
      <c r="C9" s="4" t="s">
        <v>89</v>
      </c>
      <c r="D9" s="5"/>
      <c r="E9" s="5"/>
      <c r="F9" s="5">
        <v>81</v>
      </c>
      <c r="G9" s="5">
        <f t="shared" si="0"/>
        <v>3.8</v>
      </c>
      <c r="H9" s="5" t="str">
        <f t="shared" si="1"/>
        <v>A-</v>
      </c>
      <c r="I9" s="19"/>
    </row>
    <row r="10" spans="1:12" ht="14.4" x14ac:dyDescent="0.3">
      <c r="A10" s="4" t="s">
        <v>16</v>
      </c>
      <c r="B10" s="4" t="s">
        <v>17</v>
      </c>
      <c r="C10" s="4" t="s">
        <v>90</v>
      </c>
      <c r="D10" s="5">
        <v>72</v>
      </c>
      <c r="E10" s="5">
        <v>18</v>
      </c>
      <c r="F10" s="5">
        <v>90</v>
      </c>
      <c r="G10" s="5">
        <f t="shared" si="0"/>
        <v>4</v>
      </c>
      <c r="H10" s="5" t="str">
        <f t="shared" si="1"/>
        <v>A+</v>
      </c>
      <c r="I10" s="19"/>
    </row>
    <row r="11" spans="1:12" ht="14.4" x14ac:dyDescent="0.3">
      <c r="A11" s="4" t="s">
        <v>18</v>
      </c>
      <c r="B11" s="4" t="s">
        <v>19</v>
      </c>
      <c r="C11" s="4" t="s">
        <v>91</v>
      </c>
      <c r="D11" s="5">
        <v>70</v>
      </c>
      <c r="E11" s="5">
        <v>17</v>
      </c>
      <c r="F11" s="5">
        <v>87</v>
      </c>
      <c r="G11" s="5">
        <f t="shared" si="0"/>
        <v>4</v>
      </c>
      <c r="H11" s="5" t="str">
        <f t="shared" si="1"/>
        <v>A</v>
      </c>
      <c r="I11" s="19"/>
    </row>
    <row r="12" spans="1:12" ht="14.4" x14ac:dyDescent="0.3">
      <c r="A12" s="4" t="s">
        <v>20</v>
      </c>
      <c r="B12" s="4" t="s">
        <v>21</v>
      </c>
      <c r="C12" s="8" t="s">
        <v>92</v>
      </c>
      <c r="D12" s="5"/>
      <c r="E12" s="5"/>
      <c r="F12" s="5">
        <v>83</v>
      </c>
      <c r="G12" s="5">
        <f t="shared" si="0"/>
        <v>3.8</v>
      </c>
      <c r="H12" s="5" t="str">
        <f t="shared" si="1"/>
        <v>A-</v>
      </c>
      <c r="I12" s="19"/>
    </row>
    <row r="13" spans="1:12" ht="15" customHeight="1" x14ac:dyDescent="0.3">
      <c r="A13" s="4" t="s">
        <v>22</v>
      </c>
      <c r="B13" s="4" t="s">
        <v>23</v>
      </c>
      <c r="C13" s="8" t="s">
        <v>93</v>
      </c>
      <c r="D13" s="5"/>
      <c r="E13" s="5"/>
      <c r="F13" s="5">
        <v>85</v>
      </c>
      <c r="G13" s="5">
        <f t="shared" si="0"/>
        <v>4</v>
      </c>
      <c r="H13" s="5" t="str">
        <f t="shared" si="1"/>
        <v>A</v>
      </c>
      <c r="I13" s="19"/>
    </row>
    <row r="14" spans="1:12" ht="15" customHeight="1" x14ac:dyDescent="0.3">
      <c r="A14" s="4" t="s">
        <v>24</v>
      </c>
      <c r="B14" s="4" t="s">
        <v>25</v>
      </c>
      <c r="C14" s="8" t="s">
        <v>94</v>
      </c>
      <c r="D14" s="5"/>
      <c r="E14" s="5"/>
      <c r="F14" s="5">
        <v>78</v>
      </c>
      <c r="G14" s="5">
        <f t="shared" si="0"/>
        <v>3.4</v>
      </c>
      <c r="H14" s="5" t="str">
        <f t="shared" si="1"/>
        <v>B+</v>
      </c>
      <c r="I14" s="20"/>
    </row>
    <row r="15" spans="1:12" ht="14.4" x14ac:dyDescent="0.3">
      <c r="A15" s="38"/>
      <c r="B15" s="39"/>
      <c r="C15" s="39"/>
      <c r="D15" s="39"/>
      <c r="E15" s="39"/>
      <c r="F15" s="39"/>
      <c r="G15" s="39"/>
      <c r="H15" s="39"/>
      <c r="I15" s="39"/>
    </row>
    <row r="16" spans="1:12" ht="14.4" x14ac:dyDescent="0.3">
      <c r="A16" s="40" t="s">
        <v>26</v>
      </c>
      <c r="B16" s="41"/>
      <c r="C16" s="41"/>
      <c r="D16" s="41"/>
      <c r="E16" s="41"/>
      <c r="F16" s="41"/>
      <c r="G16" s="41"/>
      <c r="H16" s="41"/>
      <c r="I16" s="42"/>
    </row>
    <row r="17" spans="1:11" ht="14.4" x14ac:dyDescent="0.3">
      <c r="A17" s="43"/>
      <c r="B17" s="44"/>
      <c r="C17" s="44"/>
      <c r="D17" s="44"/>
      <c r="E17" s="44"/>
      <c r="F17" s="44"/>
      <c r="G17" s="44"/>
      <c r="H17" s="44"/>
      <c r="I17" s="45"/>
    </row>
    <row r="18" spans="1:11" ht="14.4" x14ac:dyDescent="0.3">
      <c r="A18" s="2" t="s">
        <v>3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27</v>
      </c>
      <c r="G18" s="2" t="s">
        <v>9</v>
      </c>
      <c r="H18" s="6" t="s">
        <v>10</v>
      </c>
      <c r="I18" s="6" t="s">
        <v>11</v>
      </c>
    </row>
    <row r="19" spans="1:11" ht="14.4" x14ac:dyDescent="0.3">
      <c r="A19" s="4" t="s">
        <v>28</v>
      </c>
      <c r="B19" s="4" t="s">
        <v>29</v>
      </c>
      <c r="C19" s="8" t="s">
        <v>95</v>
      </c>
      <c r="D19" s="5">
        <v>58</v>
      </c>
      <c r="E19" s="5">
        <v>20</v>
      </c>
      <c r="F19" s="5">
        <v>78</v>
      </c>
      <c r="G19" s="5">
        <f t="shared" ref="G19:G24" si="2">IF(F19&lt;50, 0, IF(F19&lt;53, 1, IF(F19&lt;57, 1.4, IF(F19&lt;61, 1.8, IF(F19&lt;64, 2, IF(F19&lt;68, 2.4, IF(F19&lt;71, 2.8, IF(F19&lt;75, 3, IF(F19&lt;80, 3.4, IF(F19&lt;85, 3.8, 4))))))))))</f>
        <v>3.4</v>
      </c>
      <c r="H19" s="5" t="str">
        <f t="shared" ref="H19:H24" si="3">IF(F19&lt;50,"FAILS",IF(F19&lt;53,"D",IF(F19&lt;57,"D+",IF(F19&lt;61,"C-",IF(F19&lt;64,"C",IF(F19&lt;68,"C+",IF(F19&lt;71,"B-",IF(F19&lt;75,"B",IF(F19&lt;80,"B+",IF(F19&lt;85,"A-",IF(F19&lt;90,"A","A+")))))))))))</f>
        <v>B+</v>
      </c>
      <c r="I19" s="18">
        <f>ROUND(AVERAGE(G19:G24),2)</f>
        <v>3.83</v>
      </c>
    </row>
    <row r="20" spans="1:11" ht="14.4" x14ac:dyDescent="0.3">
      <c r="A20" s="4" t="s">
        <v>30</v>
      </c>
      <c r="B20" s="4" t="s">
        <v>31</v>
      </c>
      <c r="C20" s="8" t="s">
        <v>96</v>
      </c>
      <c r="D20" s="5"/>
      <c r="E20" s="5"/>
      <c r="F20" s="5">
        <v>95</v>
      </c>
      <c r="G20" s="5">
        <f t="shared" si="2"/>
        <v>4</v>
      </c>
      <c r="H20" s="5" t="str">
        <f t="shared" si="3"/>
        <v>A+</v>
      </c>
      <c r="I20" s="19"/>
    </row>
    <row r="21" spans="1:11" ht="15.75" customHeight="1" x14ac:dyDescent="0.3">
      <c r="A21" s="4" t="s">
        <v>32</v>
      </c>
      <c r="B21" s="4" t="s">
        <v>33</v>
      </c>
      <c r="C21" s="8" t="s">
        <v>90</v>
      </c>
      <c r="D21" s="5">
        <v>67</v>
      </c>
      <c r="E21" s="5">
        <v>15</v>
      </c>
      <c r="F21" s="5">
        <v>82</v>
      </c>
      <c r="G21" s="5">
        <f t="shared" si="2"/>
        <v>3.8</v>
      </c>
      <c r="H21" s="5" t="str">
        <f t="shared" si="3"/>
        <v>A-</v>
      </c>
      <c r="I21" s="19"/>
    </row>
    <row r="22" spans="1:11" ht="15.75" customHeight="1" x14ac:dyDescent="0.3">
      <c r="A22" s="4" t="s">
        <v>34</v>
      </c>
      <c r="B22" s="4" t="s">
        <v>35</v>
      </c>
      <c r="C22" s="8" t="s">
        <v>97</v>
      </c>
      <c r="D22" s="5">
        <v>77</v>
      </c>
      <c r="E22" s="5">
        <v>16</v>
      </c>
      <c r="F22" s="5">
        <v>93</v>
      </c>
      <c r="G22" s="5">
        <f t="shared" si="2"/>
        <v>4</v>
      </c>
      <c r="H22" s="5" t="str">
        <f t="shared" si="3"/>
        <v>A+</v>
      </c>
      <c r="I22" s="19"/>
    </row>
    <row r="23" spans="1:11" ht="15.75" customHeight="1" x14ac:dyDescent="0.3">
      <c r="A23" s="4" t="s">
        <v>36</v>
      </c>
      <c r="B23" s="4" t="s">
        <v>21</v>
      </c>
      <c r="C23" s="8" t="s">
        <v>98</v>
      </c>
      <c r="D23" s="5"/>
      <c r="E23" s="5"/>
      <c r="F23" s="5">
        <v>86</v>
      </c>
      <c r="G23" s="5">
        <f t="shared" si="2"/>
        <v>4</v>
      </c>
      <c r="H23" s="5" t="str">
        <f t="shared" si="3"/>
        <v>A</v>
      </c>
      <c r="I23" s="19"/>
    </row>
    <row r="24" spans="1:11" ht="15.75" customHeight="1" x14ac:dyDescent="0.3">
      <c r="A24" s="4" t="s">
        <v>37</v>
      </c>
      <c r="B24" s="4" t="s">
        <v>38</v>
      </c>
      <c r="C24" s="8" t="s">
        <v>99</v>
      </c>
      <c r="D24" s="5"/>
      <c r="E24" s="5"/>
      <c r="F24" s="5">
        <v>80</v>
      </c>
      <c r="G24" s="5">
        <f t="shared" si="2"/>
        <v>3.8</v>
      </c>
      <c r="H24" s="5" t="str">
        <f t="shared" si="3"/>
        <v>A-</v>
      </c>
      <c r="I24" s="20"/>
    </row>
    <row r="25" spans="1:11" ht="15.75" customHeight="1" x14ac:dyDescent="0.3">
      <c r="A25" s="46"/>
      <c r="B25" s="47"/>
      <c r="C25" s="47"/>
      <c r="D25" s="47"/>
      <c r="E25" s="47"/>
      <c r="F25" s="47"/>
      <c r="G25" s="47"/>
      <c r="H25" s="47"/>
      <c r="I25" s="47"/>
    </row>
    <row r="26" spans="1:11" ht="15.75" customHeight="1" x14ac:dyDescent="0.3">
      <c r="A26" s="48" t="s">
        <v>39</v>
      </c>
      <c r="B26" s="49"/>
      <c r="C26" s="49"/>
      <c r="D26" s="49"/>
      <c r="E26" s="49"/>
      <c r="F26" s="49"/>
      <c r="G26" s="49"/>
      <c r="H26" s="49"/>
      <c r="I26" s="50"/>
    </row>
    <row r="27" spans="1:11" ht="15.75" customHeight="1" x14ac:dyDescent="0.3">
      <c r="A27" s="51"/>
      <c r="B27" s="52"/>
      <c r="C27" s="52"/>
      <c r="D27" s="52"/>
      <c r="E27" s="52"/>
      <c r="F27" s="52"/>
      <c r="G27" s="52"/>
      <c r="H27" s="52"/>
      <c r="I27" s="53"/>
    </row>
    <row r="28" spans="1:11" ht="15.75" customHeight="1" x14ac:dyDescent="0.3">
      <c r="A28" s="2" t="s">
        <v>3</v>
      </c>
      <c r="B28" s="2" t="s">
        <v>4</v>
      </c>
      <c r="C28" s="2" t="s">
        <v>5</v>
      </c>
      <c r="D28" s="2" t="s">
        <v>6</v>
      </c>
      <c r="E28" s="2" t="s">
        <v>7</v>
      </c>
      <c r="F28" s="2" t="s">
        <v>27</v>
      </c>
      <c r="G28" s="2" t="s">
        <v>9</v>
      </c>
      <c r="H28" s="2" t="s">
        <v>10</v>
      </c>
      <c r="I28" s="2" t="s">
        <v>11</v>
      </c>
    </row>
    <row r="29" spans="1:11" ht="15.75" customHeight="1" x14ac:dyDescent="0.3">
      <c r="A29" s="4" t="s">
        <v>40</v>
      </c>
      <c r="B29" s="4" t="s">
        <v>41</v>
      </c>
      <c r="C29" s="8" t="s">
        <v>100</v>
      </c>
      <c r="D29" s="5">
        <v>57</v>
      </c>
      <c r="E29" s="5">
        <v>14</v>
      </c>
      <c r="F29" s="5">
        <v>71</v>
      </c>
      <c r="G29" s="5">
        <f t="shared" ref="G29:G34" si="4">IF(F29&lt;50, 0, IF(F29&lt;53, 1, IF(F29&lt;57, 1.4, IF(F29&lt;61, 1.8, IF(F29&lt;64, 2, IF(F29&lt;68, 2.4, IF(F29&lt;71, 2.8, IF(F29&lt;75, 3, IF(F29&lt;80, 3.4, IF(F29&lt;85, 3.8, 4))))))))))</f>
        <v>3</v>
      </c>
      <c r="H29" s="5" t="str">
        <f t="shared" ref="H29:H34" si="5">IF(F29&lt;50,"FAILS",IF(F29&lt;53,"D",IF(F29&lt;57,"D+",IF(F29&lt;61,"C-",IF(F29&lt;64,"C",IF(F29&lt;68,"C+",IF(F29&lt;71,"B-",IF(F29&lt;75,"B",IF(F29&lt;80,"B+",IF(F29&lt;85,"A-",IF(F29&lt;90,"A","A+")))))))))))</f>
        <v>B</v>
      </c>
      <c r="I29" s="18">
        <f>ROUND(AVERAGE(G29:G34),2)</f>
        <v>3.73</v>
      </c>
    </row>
    <row r="30" spans="1:11" ht="15.75" customHeight="1" x14ac:dyDescent="0.3">
      <c r="A30" s="4" t="s">
        <v>42</v>
      </c>
      <c r="B30" s="4" t="s">
        <v>43</v>
      </c>
      <c r="C30" s="8" t="s">
        <v>114</v>
      </c>
      <c r="D30" s="5">
        <v>67</v>
      </c>
      <c r="E30" s="5">
        <v>18</v>
      </c>
      <c r="F30" s="5">
        <v>85</v>
      </c>
      <c r="G30" s="5">
        <f t="shared" si="4"/>
        <v>4</v>
      </c>
      <c r="H30" s="5" t="str">
        <f t="shared" si="5"/>
        <v>A</v>
      </c>
      <c r="I30" s="19"/>
    </row>
    <row r="31" spans="1:11" ht="15.75" customHeight="1" x14ac:dyDescent="0.3">
      <c r="A31" s="4" t="s">
        <v>44</v>
      </c>
      <c r="B31" s="4" t="s">
        <v>104</v>
      </c>
      <c r="C31" s="8" t="s">
        <v>101</v>
      </c>
      <c r="D31" s="5"/>
      <c r="E31" s="5"/>
      <c r="F31" s="5">
        <v>88</v>
      </c>
      <c r="G31" s="5">
        <f t="shared" si="4"/>
        <v>4</v>
      </c>
      <c r="H31" s="5" t="str">
        <f t="shared" si="5"/>
        <v>A</v>
      </c>
      <c r="I31" s="19"/>
      <c r="K31" s="4"/>
    </row>
    <row r="32" spans="1:11" ht="15.75" customHeight="1" x14ac:dyDescent="0.3">
      <c r="A32" s="4" t="s">
        <v>45</v>
      </c>
      <c r="B32" s="4" t="s">
        <v>46</v>
      </c>
      <c r="C32" s="8" t="s">
        <v>113</v>
      </c>
      <c r="D32" s="5">
        <v>73</v>
      </c>
      <c r="E32" s="5">
        <v>15</v>
      </c>
      <c r="F32" s="5">
        <v>88</v>
      </c>
      <c r="G32" s="5">
        <f t="shared" si="4"/>
        <v>4</v>
      </c>
      <c r="H32" s="5" t="str">
        <f t="shared" si="5"/>
        <v>A</v>
      </c>
      <c r="I32" s="19"/>
    </row>
    <row r="33" spans="1:9" ht="15.75" customHeight="1" x14ac:dyDescent="0.3">
      <c r="A33" s="4" t="s">
        <v>47</v>
      </c>
      <c r="B33" s="4" t="s">
        <v>48</v>
      </c>
      <c r="C33" s="8" t="s">
        <v>102</v>
      </c>
      <c r="D33" s="5"/>
      <c r="E33" s="5"/>
      <c r="F33" s="5">
        <v>76</v>
      </c>
      <c r="G33" s="5">
        <f t="shared" si="4"/>
        <v>3.4</v>
      </c>
      <c r="H33" s="5" t="str">
        <f t="shared" si="5"/>
        <v>B+</v>
      </c>
      <c r="I33" s="19"/>
    </row>
    <row r="34" spans="1:9" ht="15.75" customHeight="1" x14ac:dyDescent="0.3">
      <c r="A34" s="4" t="s">
        <v>49</v>
      </c>
      <c r="B34" s="4" t="s">
        <v>50</v>
      </c>
      <c r="C34" s="8" t="s">
        <v>103</v>
      </c>
      <c r="D34" s="5">
        <v>72</v>
      </c>
      <c r="E34" s="5">
        <v>20</v>
      </c>
      <c r="F34" s="5">
        <v>92</v>
      </c>
      <c r="G34" s="5">
        <f t="shared" si="4"/>
        <v>4</v>
      </c>
      <c r="H34" s="5" t="str">
        <f t="shared" si="5"/>
        <v>A+</v>
      </c>
      <c r="I34" s="20"/>
    </row>
    <row r="35" spans="1:9" ht="15.75" customHeight="1" x14ac:dyDescent="0.3"/>
    <row r="36" spans="1:9" ht="15.75" customHeight="1" x14ac:dyDescent="0.3">
      <c r="A36" s="54" t="s">
        <v>51</v>
      </c>
      <c r="B36" s="55"/>
      <c r="C36" s="55"/>
      <c r="D36" s="55"/>
      <c r="E36" s="55"/>
      <c r="F36" s="55"/>
      <c r="G36" s="55"/>
      <c r="H36" s="55"/>
      <c r="I36" s="56"/>
    </row>
    <row r="37" spans="1:9" ht="15.75" customHeight="1" x14ac:dyDescent="0.3">
      <c r="A37" s="57"/>
      <c r="B37" s="58"/>
      <c r="C37" s="58"/>
      <c r="D37" s="58"/>
      <c r="E37" s="58"/>
      <c r="F37" s="58"/>
      <c r="G37" s="58"/>
      <c r="H37" s="58"/>
      <c r="I37" s="59"/>
    </row>
    <row r="38" spans="1:9" ht="15.75" customHeight="1" x14ac:dyDescent="0.3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 t="s">
        <v>27</v>
      </c>
      <c r="G38" s="2" t="s">
        <v>9</v>
      </c>
      <c r="H38" s="2" t="s">
        <v>10</v>
      </c>
      <c r="I38" s="2" t="s">
        <v>11</v>
      </c>
    </row>
    <row r="39" spans="1:9" ht="15.75" customHeight="1" x14ac:dyDescent="0.3">
      <c r="A39" s="4" t="s">
        <v>144</v>
      </c>
      <c r="B39" s="4" t="s">
        <v>105</v>
      </c>
      <c r="C39" s="4" t="s">
        <v>110</v>
      </c>
      <c r="D39" s="5">
        <v>75</v>
      </c>
      <c r="E39" s="5">
        <v>19</v>
      </c>
      <c r="F39" s="5">
        <v>94</v>
      </c>
      <c r="G39" s="5">
        <f t="shared" ref="G39:G43" si="6">IF(F39&lt;50, 0, IF(F39&lt;53, 1, IF(F39&lt;57, 1.4, IF(F39&lt;61, 1.8, IF(F39&lt;64, 2, IF(F39&lt;68, 2.4, IF(F39&lt;71, 2.8, IF(F39&lt;75, 3, IF(F39&lt;80, 3.4, IF(F39&lt;85, 3.8, 4))))))))))</f>
        <v>4</v>
      </c>
      <c r="H39" s="5" t="str">
        <f t="shared" ref="H39:H43" si="7">IF(F39&lt;50,"FAILS",IF(F39&lt;53,"D",IF(F39&lt;57,"D+",IF(F39&lt;61,"C-",IF(F39&lt;64,"C",IF(F39&lt;68,"C+",IF(F39&lt;71,"B-",IF(F39&lt;75,"B",IF(F39&lt;80,"B+",IF(F39&lt;85,"A-",IF(F39&lt;90,"A","A+")))))))))))</f>
        <v>A+</v>
      </c>
      <c r="I39" s="18">
        <f>ROUND(AVERAGE(G39:G44),2)</f>
        <v>3.93</v>
      </c>
    </row>
    <row r="40" spans="1:9" ht="15.75" customHeight="1" x14ac:dyDescent="0.3">
      <c r="A40" s="4" t="s">
        <v>145</v>
      </c>
      <c r="B40" s="4" t="s">
        <v>106</v>
      </c>
      <c r="C40" s="4" t="s">
        <v>111</v>
      </c>
      <c r="D40" s="5">
        <v>71</v>
      </c>
      <c r="E40" s="5">
        <v>13</v>
      </c>
      <c r="F40" s="5">
        <v>84</v>
      </c>
      <c r="G40" s="5">
        <f t="shared" si="6"/>
        <v>3.8</v>
      </c>
      <c r="H40" s="5" t="str">
        <f t="shared" si="7"/>
        <v>A-</v>
      </c>
      <c r="I40" s="19"/>
    </row>
    <row r="41" spans="1:9" ht="15.75" customHeight="1" x14ac:dyDescent="0.3">
      <c r="A41" s="4" t="s">
        <v>146</v>
      </c>
      <c r="B41" s="4" t="s">
        <v>107</v>
      </c>
      <c r="C41" s="4" t="s">
        <v>112</v>
      </c>
      <c r="D41" s="5">
        <v>75</v>
      </c>
      <c r="E41" s="5">
        <v>20</v>
      </c>
      <c r="F41" s="5">
        <v>95</v>
      </c>
      <c r="G41" s="5">
        <f t="shared" si="6"/>
        <v>4</v>
      </c>
      <c r="H41" s="5" t="str">
        <f t="shared" si="7"/>
        <v>A+</v>
      </c>
      <c r="I41" s="19"/>
    </row>
    <row r="42" spans="1:9" ht="15.75" customHeight="1" x14ac:dyDescent="0.3">
      <c r="A42" s="4" t="s">
        <v>147</v>
      </c>
      <c r="B42" s="4" t="s">
        <v>52</v>
      </c>
      <c r="C42" s="4" t="s">
        <v>113</v>
      </c>
      <c r="D42" s="5">
        <v>65</v>
      </c>
      <c r="E42" s="5">
        <v>15</v>
      </c>
      <c r="F42" s="5">
        <v>80</v>
      </c>
      <c r="G42" s="5">
        <f t="shared" si="6"/>
        <v>3.8</v>
      </c>
      <c r="H42" s="5" t="str">
        <f t="shared" si="7"/>
        <v>A-</v>
      </c>
      <c r="I42" s="19"/>
    </row>
    <row r="43" spans="1:9" ht="15.75" customHeight="1" x14ac:dyDescent="0.3">
      <c r="A43" s="4" t="s">
        <v>155</v>
      </c>
      <c r="B43" s="4" t="s">
        <v>108</v>
      </c>
      <c r="C43" s="4" t="s">
        <v>114</v>
      </c>
      <c r="D43" s="5">
        <v>67</v>
      </c>
      <c r="E43" s="5">
        <v>18</v>
      </c>
      <c r="F43" s="5">
        <v>85</v>
      </c>
      <c r="G43" s="5">
        <f t="shared" si="6"/>
        <v>4</v>
      </c>
      <c r="H43" s="5" t="str">
        <f t="shared" si="7"/>
        <v>A</v>
      </c>
      <c r="I43" s="19"/>
    </row>
    <row r="44" spans="1:9" ht="15.75" customHeight="1" x14ac:dyDescent="0.3">
      <c r="A44" s="4" t="s">
        <v>148</v>
      </c>
      <c r="B44" s="4" t="s">
        <v>109</v>
      </c>
      <c r="C44" s="4" t="s">
        <v>115</v>
      </c>
      <c r="D44" s="5"/>
      <c r="E44" s="5"/>
      <c r="F44" s="5">
        <v>88</v>
      </c>
      <c r="G44" s="5">
        <v>4</v>
      </c>
      <c r="H44" s="5" t="s">
        <v>123</v>
      </c>
      <c r="I44" s="20"/>
    </row>
    <row r="45" spans="1:9" ht="15.75" customHeight="1" x14ac:dyDescent="0.3"/>
    <row r="46" spans="1:9" ht="15.75" customHeight="1" x14ac:dyDescent="0.3">
      <c r="A46" s="12" t="s">
        <v>53</v>
      </c>
      <c r="B46" s="13"/>
      <c r="C46" s="13"/>
      <c r="D46" s="13"/>
      <c r="E46" s="13"/>
      <c r="F46" s="13"/>
      <c r="G46" s="13"/>
      <c r="H46" s="13"/>
      <c r="I46" s="14"/>
    </row>
    <row r="47" spans="1:9" ht="15.75" customHeight="1" x14ac:dyDescent="0.3">
      <c r="A47" s="15"/>
      <c r="B47" s="16"/>
      <c r="C47" s="16"/>
      <c r="D47" s="16"/>
      <c r="E47" s="16"/>
      <c r="F47" s="16"/>
      <c r="G47" s="16"/>
      <c r="H47" s="16"/>
      <c r="I47" s="17"/>
    </row>
    <row r="48" spans="1:9" ht="15.75" customHeight="1" x14ac:dyDescent="0.3">
      <c r="A48" s="2" t="s">
        <v>3</v>
      </c>
      <c r="B48" s="2" t="s">
        <v>4</v>
      </c>
      <c r="C48" s="2" t="s">
        <v>5</v>
      </c>
      <c r="D48" s="2" t="s">
        <v>6</v>
      </c>
      <c r="E48" s="2" t="s">
        <v>7</v>
      </c>
      <c r="F48" s="2" t="s">
        <v>27</v>
      </c>
      <c r="G48" s="2" t="s">
        <v>9</v>
      </c>
      <c r="H48" s="2" t="s">
        <v>10</v>
      </c>
      <c r="I48" s="2" t="s">
        <v>11</v>
      </c>
    </row>
    <row r="49" spans="1:10" ht="15.75" customHeight="1" x14ac:dyDescent="0.3">
      <c r="A49" s="4" t="s">
        <v>149</v>
      </c>
      <c r="B49" s="4" t="s">
        <v>54</v>
      </c>
      <c r="C49" s="4" t="s">
        <v>119</v>
      </c>
      <c r="D49" s="5">
        <v>74</v>
      </c>
      <c r="E49" s="5">
        <v>19</v>
      </c>
      <c r="F49" s="5">
        <v>93</v>
      </c>
      <c r="G49" s="5">
        <f t="shared" ref="G49:G54" si="8">IF(F49&lt;50, 0, IF(F49&lt;53, 1, IF(F49&lt;57, 1.4, IF(F49&lt;61, 1.8, IF(F49&lt;64, 2, IF(F49&lt;68, 2.4, IF(F49&lt;71, 2.8, IF(F49&lt;75, 3, IF(F49&lt;80, 3.4, IF(F49&lt;85, 3.8, 4))))))))))</f>
        <v>4</v>
      </c>
      <c r="H49" s="5" t="str">
        <f t="shared" ref="H49:H54" si="9">IF(F49&lt;50,"FAILS",IF(F49&lt;53,"D",IF(F49&lt;57,"D+",IF(F49&lt;61,"C-",IF(F49&lt;64,"C",IF(F49&lt;68,"C+",IF(F49&lt;71,"B-",IF(F49&lt;75,"B",IF(F49&lt;80,"B+",IF(F49&lt;85,"A-",IF(F49&lt;90,"A","A+")))))))))))</f>
        <v>A+</v>
      </c>
      <c r="I49" s="18">
        <f>ROUND(AVERAGE(G49:G54),2)</f>
        <v>3.53</v>
      </c>
    </row>
    <row r="50" spans="1:10" ht="15.75" customHeight="1" x14ac:dyDescent="0.3">
      <c r="A50" s="4" t="s">
        <v>150</v>
      </c>
      <c r="B50" s="4" t="s">
        <v>63</v>
      </c>
      <c r="C50" s="8" t="s">
        <v>113</v>
      </c>
      <c r="D50" s="5">
        <v>61</v>
      </c>
      <c r="E50" s="5">
        <v>10</v>
      </c>
      <c r="F50" s="5">
        <v>71</v>
      </c>
      <c r="G50" s="5">
        <f t="shared" si="8"/>
        <v>3</v>
      </c>
      <c r="H50" s="5" t="str">
        <f t="shared" si="9"/>
        <v>B</v>
      </c>
      <c r="I50" s="19"/>
    </row>
    <row r="51" spans="1:10" ht="15.75" customHeight="1" x14ac:dyDescent="0.3">
      <c r="A51" s="4" t="s">
        <v>151</v>
      </c>
      <c r="B51" s="4" t="s">
        <v>116</v>
      </c>
      <c r="C51" s="4" t="s">
        <v>120</v>
      </c>
      <c r="D51" s="5">
        <v>51</v>
      </c>
      <c r="E51" s="5">
        <v>15</v>
      </c>
      <c r="F51" s="5">
        <f t="shared" ref="F51:F54" si="10">(D51+E51)</f>
        <v>66</v>
      </c>
      <c r="G51" s="5">
        <f t="shared" si="8"/>
        <v>2.4</v>
      </c>
      <c r="H51" s="5" t="str">
        <f t="shared" si="9"/>
        <v>C+</v>
      </c>
      <c r="I51" s="19"/>
    </row>
    <row r="52" spans="1:10" ht="15.75" customHeight="1" x14ac:dyDescent="0.3">
      <c r="A52" s="4" t="s">
        <v>152</v>
      </c>
      <c r="B52" s="4" t="s">
        <v>117</v>
      </c>
      <c r="C52" s="8" t="s">
        <v>121</v>
      </c>
      <c r="D52" s="5">
        <v>71</v>
      </c>
      <c r="E52" s="5">
        <v>19</v>
      </c>
      <c r="F52" s="5">
        <v>90</v>
      </c>
      <c r="G52" s="5">
        <f t="shared" si="8"/>
        <v>4</v>
      </c>
      <c r="H52" s="5" t="str">
        <f t="shared" si="9"/>
        <v>A+</v>
      </c>
      <c r="I52" s="19"/>
    </row>
    <row r="53" spans="1:10" ht="15.75" customHeight="1" x14ac:dyDescent="0.3">
      <c r="A53" s="4" t="s">
        <v>154</v>
      </c>
      <c r="B53" s="4" t="s">
        <v>118</v>
      </c>
      <c r="C53" s="4" t="s">
        <v>111</v>
      </c>
      <c r="D53" s="5">
        <v>70</v>
      </c>
      <c r="E53" s="5">
        <v>19</v>
      </c>
      <c r="F53" s="5">
        <f t="shared" si="10"/>
        <v>89</v>
      </c>
      <c r="G53" s="5">
        <f t="shared" si="8"/>
        <v>4</v>
      </c>
      <c r="H53" s="5" t="str">
        <f t="shared" si="9"/>
        <v>A</v>
      </c>
      <c r="I53" s="19"/>
    </row>
    <row r="54" spans="1:10" ht="15.75" customHeight="1" x14ac:dyDescent="0.3">
      <c r="A54" s="4" t="s">
        <v>153</v>
      </c>
      <c r="B54" s="4" t="s">
        <v>55</v>
      </c>
      <c r="C54" s="4" t="s">
        <v>122</v>
      </c>
      <c r="D54" s="5">
        <v>68</v>
      </c>
      <c r="E54" s="5">
        <v>12</v>
      </c>
      <c r="F54" s="5">
        <f t="shared" si="10"/>
        <v>80</v>
      </c>
      <c r="G54" s="5">
        <f t="shared" si="8"/>
        <v>3.8</v>
      </c>
      <c r="H54" s="5" t="str">
        <f t="shared" si="9"/>
        <v>A-</v>
      </c>
      <c r="I54" s="20"/>
      <c r="J54" s="9"/>
    </row>
    <row r="55" spans="1:10" ht="15.75" customHeight="1" x14ac:dyDescent="0.3"/>
    <row r="56" spans="1:10" ht="15.75" customHeight="1" x14ac:dyDescent="0.3">
      <c r="A56" s="48" t="s">
        <v>56</v>
      </c>
      <c r="B56" s="49"/>
      <c r="C56" s="49"/>
      <c r="D56" s="49"/>
      <c r="E56" s="49"/>
      <c r="F56" s="49"/>
      <c r="G56" s="49"/>
      <c r="H56" s="49"/>
      <c r="I56" s="50"/>
    </row>
    <row r="57" spans="1:10" ht="15.75" customHeight="1" x14ac:dyDescent="0.3">
      <c r="A57" s="51"/>
      <c r="B57" s="52"/>
      <c r="C57" s="52"/>
      <c r="D57" s="52"/>
      <c r="E57" s="52"/>
      <c r="F57" s="52"/>
      <c r="G57" s="52"/>
      <c r="H57" s="52"/>
      <c r="I57" s="53"/>
    </row>
    <row r="58" spans="1:10" ht="15.75" customHeight="1" x14ac:dyDescent="0.3">
      <c r="A58" s="2" t="s">
        <v>3</v>
      </c>
      <c r="B58" s="2" t="s">
        <v>4</v>
      </c>
      <c r="C58" s="2" t="s">
        <v>5</v>
      </c>
      <c r="D58" s="2" t="s">
        <v>6</v>
      </c>
      <c r="E58" s="2" t="s">
        <v>7</v>
      </c>
      <c r="F58" s="2" t="s">
        <v>27</v>
      </c>
      <c r="G58" s="2" t="s">
        <v>9</v>
      </c>
      <c r="H58" s="2" t="s">
        <v>10</v>
      </c>
      <c r="I58" s="2" t="s">
        <v>11</v>
      </c>
    </row>
    <row r="59" spans="1:10" ht="15.75" customHeight="1" x14ac:dyDescent="0.3">
      <c r="A59" s="4" t="s">
        <v>69</v>
      </c>
      <c r="B59" s="8" t="s">
        <v>68</v>
      </c>
      <c r="C59" s="4" t="s">
        <v>126</v>
      </c>
      <c r="D59" s="5">
        <v>68</v>
      </c>
      <c r="E59" s="5">
        <v>19</v>
      </c>
      <c r="F59" s="5">
        <f t="shared" ref="F59" si="11">(D59+E59)</f>
        <v>87</v>
      </c>
      <c r="G59" s="5">
        <f t="shared" ref="G59" si="12">IF(F59&lt;50, 0, IF(F59&lt;53, 1, IF(F59&lt;57, 1.4, IF(F59&lt;61, 1.8, IF(F59&lt;64, 2, IF(F59&lt;68, 2.4, IF(F59&lt;71, 2.8, IF(F59&lt;75, 3, IF(F59&lt;80, 3.4, IF(F59&lt;85, 3.8, 4))))))))))</f>
        <v>4</v>
      </c>
      <c r="H59" s="5" t="str">
        <f t="shared" ref="H59" si="13">IF(F59&lt;50,"FAILS",IF(F59&lt;53,"D",IF(F59&lt;57,"D+",IF(F59&lt;61,"C-",IF(F59&lt;64,"C",IF(F59&lt;68,"C+",IF(F59&lt;71,"B-",IF(F59&lt;75,"B",IF(F59&lt;80,"B+",IF(F59&lt;85,"A-",IF(F59&lt;90,"A","A+")))))))))))</f>
        <v>A</v>
      </c>
      <c r="I59" s="18">
        <f>ROUND(AVERAGE(G59:G64),2)</f>
        <v>3.5</v>
      </c>
      <c r="J59" s="10"/>
    </row>
    <row r="60" spans="1:10" ht="15.75" customHeight="1" x14ac:dyDescent="0.3">
      <c r="A60" s="4" t="s">
        <v>67</v>
      </c>
      <c r="B60" s="8" t="s">
        <v>57</v>
      </c>
      <c r="C60" s="8" t="s">
        <v>82</v>
      </c>
      <c r="D60" s="5">
        <v>61</v>
      </c>
      <c r="E60" s="5">
        <v>12</v>
      </c>
      <c r="F60" s="5">
        <f>(D60+E60)</f>
        <v>73</v>
      </c>
      <c r="G60" s="5">
        <f>IF(F60&lt;50, 0, IF(F60&lt;53, 1, IF(F60&lt;57, 1.4, IF(F60&lt;61, 1.8, IF(F60&lt;64, 2, IF(F60&lt;68, 2.4, IF(F60&lt;71, 2.8, IF(F60&lt;75, 3, IF(F60&lt;80, 3.4, IF(F60&lt;85, 3.8, 4))))))))))</f>
        <v>3</v>
      </c>
      <c r="H60" s="5" t="str">
        <f>IF(F60&lt;50,"FAILS",IF(F60&lt;53,"D",IF(F60&lt;57,"D+",IF(F60&lt;61,"C-",IF(F60&lt;64,"C",IF(F60&lt;68,"C+",IF(F60&lt;71,"B-",IF(F60&lt;75,"B",IF(F60&lt;80,"B+",IF(F60&lt;85,"A-",IF(F60&lt;90,"A","A+")))))))))))</f>
        <v>B</v>
      </c>
      <c r="I60" s="19"/>
      <c r="J60" s="10"/>
    </row>
    <row r="61" spans="1:10" ht="15.75" customHeight="1" x14ac:dyDescent="0.3">
      <c r="A61" s="4" t="s">
        <v>66</v>
      </c>
      <c r="B61" s="8" t="s">
        <v>58</v>
      </c>
      <c r="C61" s="4" t="s">
        <v>127</v>
      </c>
      <c r="D61" s="5">
        <v>55</v>
      </c>
      <c r="E61" s="5">
        <v>15</v>
      </c>
      <c r="F61" s="5">
        <f>(D61+E61)</f>
        <v>70</v>
      </c>
      <c r="G61" s="5">
        <f>IF(F61&lt;50, 0, IF(F61&lt;53, 1, IF(F61&lt;57, 1.4, IF(F61&lt;61, 1.8, IF(F61&lt;64, 2, IF(F61&lt;68, 2.4, IF(F61&lt;71, 2.8, IF(F61&lt;75, 3, IF(F61&lt;80, 3.4, IF(F61&lt;85, 3.8, 4))))))))))</f>
        <v>2.8</v>
      </c>
      <c r="H61" s="5" t="str">
        <f>IF(F61&lt;50,"FAILS",IF(F61&lt;53,"D",IF(F61&lt;57,"D+",IF(F61&lt;61,"C-",IF(F61&lt;64,"C",IF(F61&lt;68,"C+",IF(F61&lt;71,"B-",IF(F61&lt;75,"B",IF(F61&lt;80,"B+",IF(F61&lt;85,"A-",IF(F61&lt;90,"A","A+")))))))))))</f>
        <v>B-</v>
      </c>
      <c r="I61" s="19"/>
      <c r="J61" s="10"/>
    </row>
    <row r="62" spans="1:10" ht="15.75" customHeight="1" x14ac:dyDescent="0.3">
      <c r="A62" s="4" t="s">
        <v>65</v>
      </c>
      <c r="B62" s="4" t="s">
        <v>64</v>
      </c>
      <c r="C62" s="4" t="s">
        <v>130</v>
      </c>
      <c r="D62" s="5">
        <v>62</v>
      </c>
      <c r="E62" s="5">
        <v>13</v>
      </c>
      <c r="F62" s="5">
        <f>(D62+E62)</f>
        <v>75</v>
      </c>
      <c r="G62" s="5">
        <f>IF(F62&lt;50, 0, IF(F62&lt;53, 1, IF(F62&lt;57, 1.4, IF(F62&lt;61, 1.8, IF(F62&lt;64, 2, IF(F62&lt;68, 2.4, IF(F62&lt;71, 2.8, IF(F62&lt;75, 3, IF(F62&lt;80, 3.4, IF(F62&lt;85, 3.8, 4))))))))))</f>
        <v>3.4</v>
      </c>
      <c r="H62" s="5" t="str">
        <f>IF(F62&lt;50,"FAILS",IF(F62&lt;53,"D",IF(F62&lt;57,"D+",IF(F62&lt;61,"C-",IF(F62&lt;64,"C",IF(F62&lt;68,"C+",IF(F62&lt;71,"B-",IF(F62&lt;75,"B",IF(F62&lt;80,"B+",IF(F62&lt;85,"A-",IF(F62&lt;90,"A","A+")))))))))))</f>
        <v>B+</v>
      </c>
      <c r="I62" s="19"/>
    </row>
    <row r="63" spans="1:10" ht="15.75" customHeight="1" x14ac:dyDescent="0.3">
      <c r="A63" s="4" t="s">
        <v>62</v>
      </c>
      <c r="B63" s="8" t="s">
        <v>59</v>
      </c>
      <c r="C63" s="4" t="s">
        <v>128</v>
      </c>
      <c r="D63" s="5">
        <v>63</v>
      </c>
      <c r="E63" s="5">
        <v>17</v>
      </c>
      <c r="F63" s="5">
        <f>(D63+E63)</f>
        <v>80</v>
      </c>
      <c r="G63" s="5">
        <f>IF(F63&lt;50, 0, IF(F63&lt;53, 1, IF(F63&lt;57, 1.4, IF(F63&lt;61, 1.8, IF(F63&lt;64, 2, IF(F63&lt;68, 2.4, IF(F63&lt;71, 2.8, IF(F63&lt;75, 3, IF(F63&lt;80, 3.4, IF(F63&lt;85, 3.8, 4))))))))))</f>
        <v>3.8</v>
      </c>
      <c r="H63" s="5" t="str">
        <f>IF(F63&lt;50,"FAILS",IF(F63&lt;53,"D",IF(F63&lt;57,"D+",IF(F63&lt;61,"C-",IF(F63&lt;64,"C",IF(F63&lt;68,"C+",IF(F63&lt;71,"B-",IF(F63&lt;75,"B",IF(F63&lt;80,"B+",IF(F63&lt;85,"A-",IF(F63&lt;90,"A","A+")))))))))))</f>
        <v>A-</v>
      </c>
      <c r="I63" s="19"/>
    </row>
    <row r="64" spans="1:10" ht="15.75" customHeight="1" x14ac:dyDescent="0.3">
      <c r="A64" s="4" t="s">
        <v>60</v>
      </c>
      <c r="B64" s="4" t="s">
        <v>61</v>
      </c>
      <c r="C64" s="4" t="s">
        <v>129</v>
      </c>
      <c r="D64" s="5">
        <v>68</v>
      </c>
      <c r="E64" s="5">
        <v>17</v>
      </c>
      <c r="F64" s="5">
        <f>(D64+E64)</f>
        <v>85</v>
      </c>
      <c r="G64" s="5">
        <f>IF(F64&lt;50, 0, IF(F64&lt;53, 1, IF(F64&lt;57, 1.4, IF(F64&lt;61, 1.8, IF(F64&lt;64, 2, IF(F64&lt;68, 2.4, IF(F64&lt;71, 2.8, IF(F64&lt;75, 3, IF(F64&lt;80, 3.4, IF(F64&lt;85, 3.8, 4))))))))))</f>
        <v>4</v>
      </c>
      <c r="H64" s="5" t="str">
        <f>IF(F64&lt;50,"FAILS",IF(F64&lt;53,"D",IF(F64&lt;57,"D+",IF(F64&lt;61,"C-",IF(F64&lt;64,"C",IF(F64&lt;68,"C+",IF(F64&lt;71,"B-",IF(F64&lt;75,"B",IF(F64&lt;80,"B+",IF(F64&lt;85,"A-",IF(F64&lt;90,"A","A+")))))))))))</f>
        <v>A</v>
      </c>
      <c r="I64" s="20"/>
    </row>
    <row r="65" spans="1:9" ht="15.75" customHeight="1" x14ac:dyDescent="0.3">
      <c r="A65" s="9"/>
      <c r="B65" s="9"/>
      <c r="C65" s="9"/>
      <c r="D65" s="9"/>
      <c r="E65" s="9"/>
    </row>
    <row r="66" spans="1:9" ht="15.75" customHeight="1" x14ac:dyDescent="0.3">
      <c r="A66" s="60" t="s">
        <v>85</v>
      </c>
      <c r="B66" s="61"/>
      <c r="C66" s="61"/>
      <c r="D66" s="61"/>
      <c r="E66" s="61"/>
      <c r="F66" s="61"/>
      <c r="G66" s="61"/>
      <c r="H66" s="61"/>
      <c r="I66" s="62"/>
    </row>
    <row r="67" spans="1:9" ht="15.75" customHeight="1" x14ac:dyDescent="0.3">
      <c r="A67" s="63"/>
      <c r="B67" s="64"/>
      <c r="C67" s="64"/>
      <c r="D67" s="64"/>
      <c r="E67" s="64"/>
      <c r="F67" s="64"/>
      <c r="G67" s="64"/>
      <c r="H67" s="64"/>
      <c r="I67" s="65"/>
    </row>
    <row r="68" spans="1:9" ht="15.75" customHeight="1" x14ac:dyDescent="0.3">
      <c r="A68" s="2" t="s">
        <v>3</v>
      </c>
      <c r="B68" s="2" t="s">
        <v>4</v>
      </c>
      <c r="C68" s="2" t="s">
        <v>5</v>
      </c>
      <c r="D68" s="2" t="s">
        <v>6</v>
      </c>
      <c r="E68" s="2" t="s">
        <v>7</v>
      </c>
      <c r="F68" s="2" t="s">
        <v>27</v>
      </c>
      <c r="G68" s="2" t="s">
        <v>9</v>
      </c>
      <c r="H68" s="2" t="s">
        <v>10</v>
      </c>
      <c r="I68" s="2" t="s">
        <v>11</v>
      </c>
    </row>
    <row r="69" spans="1:9" ht="15.75" customHeight="1" x14ac:dyDescent="0.3">
      <c r="A69" s="4" t="s">
        <v>125</v>
      </c>
      <c r="B69" s="4" t="s">
        <v>142</v>
      </c>
      <c r="C69" s="4" t="s">
        <v>143</v>
      </c>
      <c r="D69" s="5">
        <v>0</v>
      </c>
      <c r="E69" s="5">
        <v>0</v>
      </c>
      <c r="F69" s="5">
        <v>80</v>
      </c>
      <c r="G69" s="5">
        <f t="shared" ref="G69" si="14">IF(F69&lt;50, 0, IF(F69&lt;53, 1, IF(F69&lt;57, 1.4, IF(F69&lt;61, 1.8, IF(F69&lt;64, 2, IF(F69&lt;68, 2.4, IF(F69&lt;71, 2.8, IF(F69&lt;75, 3, IF(F69&lt;80, 3.4, IF(F69&lt;85, 3.8, 4))))))))))</f>
        <v>3.8</v>
      </c>
      <c r="H69" s="5" t="str">
        <f t="shared" ref="H69" si="15">IF(F69&lt;50,"FAILS",IF(F69&lt;53,"D",IF(F69&lt;57,"D+",IF(F69&lt;61,"C-",IF(F69&lt;64,"C",IF(F69&lt;68,"C+",IF(F69&lt;71,"B-",IF(F69&lt;75,"B",IF(F69&lt;80,"B+",IF(F69&lt;85,"A-",IF(F69&lt;90,"A","A+")))))))))))</f>
        <v>A-</v>
      </c>
      <c r="I69" s="18">
        <f>ROUND(AVERAGE(G69:G74),2)</f>
        <v>3.63</v>
      </c>
    </row>
    <row r="70" spans="1:9" ht="15.75" customHeight="1" x14ac:dyDescent="0.3">
      <c r="A70" s="4" t="s">
        <v>70</v>
      </c>
      <c r="B70" s="8" t="s">
        <v>77</v>
      </c>
      <c r="C70" s="8" t="s">
        <v>83</v>
      </c>
      <c r="D70" s="5">
        <v>70</v>
      </c>
      <c r="E70" s="5">
        <v>18</v>
      </c>
      <c r="F70" s="5">
        <f>(D70+E70)</f>
        <v>88</v>
      </c>
      <c r="G70" s="5">
        <f>IF(F70&lt;50, 0, IF(F70&lt;53, 1, IF(F70&lt;57, 1.4, IF(F70&lt;61, 1.8, IF(F70&lt;64, 2, IF(F70&lt;68, 2.4, IF(F70&lt;71, 2.8, IF(F70&lt;75, 3, IF(F70&lt;80, 3.4, IF(F70&lt;85, 3.8, 4))))))))))</f>
        <v>4</v>
      </c>
      <c r="H70" s="5" t="str">
        <f>IF(F70&lt;50,"FAILS",IF(F70&lt;53,"D",IF(F70&lt;57,"D+",IF(F70&lt;61,"C-",IF(F70&lt;64,"C",IF(F70&lt;68,"C+",IF(F70&lt;71,"B-",IF(F70&lt;75,"B",IF(F70&lt;80,"B+",IF(F70&lt;85,"A-",IF(F70&lt;90,"A","A+")))))))))))</f>
        <v>A</v>
      </c>
      <c r="I70" s="19"/>
    </row>
    <row r="71" spans="1:9" ht="15.75" customHeight="1" x14ac:dyDescent="0.3">
      <c r="A71" s="4" t="s">
        <v>71</v>
      </c>
      <c r="B71" s="8" t="s">
        <v>78</v>
      </c>
      <c r="C71" s="4" t="s">
        <v>80</v>
      </c>
      <c r="D71" s="5">
        <v>0</v>
      </c>
      <c r="E71" s="5">
        <v>0</v>
      </c>
      <c r="F71" s="5">
        <v>83</v>
      </c>
      <c r="G71" s="5">
        <f>IF(F71&lt;50, 0, IF(F71&lt;53, 1, IF(F71&lt;57, 1.4, IF(F71&lt;61, 1.8, IF(F71&lt;64, 2, IF(F71&lt;68, 2.4, IF(F71&lt;71, 2.8, IF(F71&lt;75, 3, IF(F71&lt;80, 3.4, IF(F71&lt;85, 3.8, 4))))))))))</f>
        <v>3.8</v>
      </c>
      <c r="H71" s="5" t="str">
        <f>IF(F71&lt;50,"FAILS",IF(F71&lt;53,"D",IF(F71&lt;57,"D+",IF(F71&lt;61,"C-",IF(F71&lt;64,"C",IF(F71&lt;68,"C+",IF(F71&lt;71,"B-",IF(F71&lt;75,"B",IF(F71&lt;80,"B+",IF(F71&lt;85,"A-",IF(F71&lt;90,"A","A+")))))))))))</f>
        <v>A-</v>
      </c>
      <c r="I71" s="19"/>
    </row>
    <row r="72" spans="1:9" ht="15.75" customHeight="1" x14ac:dyDescent="0.3">
      <c r="A72" s="4" t="s">
        <v>73</v>
      </c>
      <c r="B72" s="4" t="s">
        <v>75</v>
      </c>
      <c r="C72" s="8" t="s">
        <v>81</v>
      </c>
      <c r="D72" s="5">
        <v>60</v>
      </c>
      <c r="E72" s="5">
        <v>15</v>
      </c>
      <c r="F72" s="5">
        <f>(D72+E72)</f>
        <v>75</v>
      </c>
      <c r="G72" s="5">
        <f>IF(F72&lt;50, 0, IF(F72&lt;53, 1, IF(F72&lt;57, 1.4, IF(F72&lt;61, 1.8, IF(F72&lt;64, 2, IF(F72&lt;68, 2.4, IF(F72&lt;71, 2.8, IF(F72&lt;75, 3, IF(F72&lt;80, 3.4, IF(F72&lt;85, 3.8, 4))))))))))</f>
        <v>3.4</v>
      </c>
      <c r="H72" s="5" t="str">
        <f>IF(F72&lt;50,"FAILS",IF(F72&lt;53,"D",IF(F72&lt;57,"D+",IF(F72&lt;61,"C-",IF(F72&lt;64,"C",IF(F72&lt;68,"C+",IF(F72&lt;71,"B-",IF(F72&lt;75,"B",IF(F72&lt;80,"B+",IF(F72&lt;85,"A-",IF(F72&lt;90,"A","A+")))))))))))</f>
        <v>B+</v>
      </c>
      <c r="I72" s="19"/>
    </row>
    <row r="73" spans="1:9" ht="15.75" customHeight="1" x14ac:dyDescent="0.3">
      <c r="A73" s="4" t="s">
        <v>72</v>
      </c>
      <c r="B73" s="8" t="s">
        <v>79</v>
      </c>
      <c r="C73" s="4" t="s">
        <v>84</v>
      </c>
      <c r="D73" s="5">
        <v>56</v>
      </c>
      <c r="E73" s="5">
        <v>12</v>
      </c>
      <c r="F73" s="5">
        <f>(D73+E73)</f>
        <v>68</v>
      </c>
      <c r="G73" s="5">
        <f>IF(F73&lt;50, 0, IF(F73&lt;53, 1, IF(F73&lt;57, 1.4, IF(F73&lt;61, 1.8, IF(F73&lt;64, 2, IF(F73&lt;68, 2.4, IF(F73&lt;71, 2.8, IF(F73&lt;75, 3, IF(F73&lt;80, 3.4, IF(F73&lt;85, 3.8, 4))))))))))</f>
        <v>2.8</v>
      </c>
      <c r="H73" s="5" t="str">
        <f>IF(F73&lt;50,"FAILS",IF(F73&lt;53,"D",IF(F73&lt;57,"D+",IF(F73&lt;61,"C-",IF(F73&lt;64,"C",IF(F73&lt;68,"C+",IF(F73&lt;71,"B-",IF(F73&lt;75,"B",IF(F73&lt;80,"B+",IF(F73&lt;85,"A-",IF(F73&lt;90,"A","A+")))))))))))</f>
        <v>B-</v>
      </c>
      <c r="I73" s="19"/>
    </row>
    <row r="74" spans="1:9" ht="15.75" customHeight="1" x14ac:dyDescent="0.3">
      <c r="A74" s="4" t="s">
        <v>74</v>
      </c>
      <c r="B74" s="4" t="s">
        <v>76</v>
      </c>
      <c r="C74" s="4" t="s">
        <v>124</v>
      </c>
      <c r="D74" s="5">
        <v>0</v>
      </c>
      <c r="E74" s="5">
        <v>0</v>
      </c>
      <c r="F74" s="5">
        <v>87</v>
      </c>
      <c r="G74" s="5">
        <f>IF(F74&lt;50, 0, IF(F74&lt;53, 1, IF(F74&lt;57, 1.4, IF(F74&lt;61, 1.8, IF(F74&lt;64, 2, IF(F74&lt;68, 2.4, IF(F74&lt;71, 2.8, IF(F74&lt;75, 3, IF(F74&lt;80, 3.4, IF(F74&lt;85, 3.8, 4))))))))))</f>
        <v>4</v>
      </c>
      <c r="H74" s="5" t="str">
        <f>IF(F74&lt;50,"FAILS",IF(F74&lt;53,"D",IF(F74&lt;57,"D+",IF(F74&lt;61,"C-",IF(F74&lt;64,"C",IF(F74&lt;68,"C+",IF(F74&lt;71,"B-",IF(F74&lt;75,"B",IF(F74&lt;80,"B+",IF(F74&lt;85,"A-",IF(F74&lt;90,"A","A+")))))))))))</f>
        <v>A</v>
      </c>
      <c r="I74" s="20"/>
    </row>
    <row r="75" spans="1:9" ht="15.75" customHeight="1" x14ac:dyDescent="0.3"/>
    <row r="76" spans="1:9" ht="15.75" customHeight="1" x14ac:dyDescent="0.3">
      <c r="A76" s="66" t="s">
        <v>87</v>
      </c>
      <c r="B76" s="67"/>
      <c r="C76" s="67"/>
      <c r="D76" s="67"/>
      <c r="E76" s="67"/>
      <c r="F76" s="67"/>
      <c r="G76" s="67"/>
      <c r="H76" s="67"/>
      <c r="I76" s="68"/>
    </row>
    <row r="77" spans="1:9" ht="15.75" customHeight="1" x14ac:dyDescent="0.3">
      <c r="A77" s="69"/>
      <c r="B77" s="70"/>
      <c r="C77" s="70"/>
      <c r="D77" s="70"/>
      <c r="E77" s="70"/>
      <c r="F77" s="70"/>
      <c r="G77" s="70"/>
      <c r="H77" s="70"/>
      <c r="I77" s="71"/>
    </row>
    <row r="78" spans="1:9" ht="15.75" customHeight="1" x14ac:dyDescent="0.3">
      <c r="A78" s="2" t="s">
        <v>3</v>
      </c>
      <c r="B78" s="2" t="s">
        <v>4</v>
      </c>
      <c r="C78" s="2" t="s">
        <v>5</v>
      </c>
      <c r="D78" s="2" t="s">
        <v>6</v>
      </c>
      <c r="E78" s="2" t="s">
        <v>7</v>
      </c>
      <c r="F78" s="2" t="s">
        <v>27</v>
      </c>
      <c r="G78" s="2" t="s">
        <v>9</v>
      </c>
      <c r="H78" s="2" t="s">
        <v>10</v>
      </c>
      <c r="I78" s="2" t="s">
        <v>11</v>
      </c>
    </row>
    <row r="79" spans="1:9" ht="15.75" customHeight="1" x14ac:dyDescent="0.3">
      <c r="A79" s="8" t="s">
        <v>86</v>
      </c>
      <c r="B79" s="4" t="s">
        <v>131</v>
      </c>
      <c r="C79" s="4" t="s">
        <v>132</v>
      </c>
      <c r="D79" s="5">
        <v>0</v>
      </c>
      <c r="E79" s="5">
        <v>0</v>
      </c>
      <c r="F79" s="5">
        <f t="shared" ref="F79" si="16">(D79+E79)</f>
        <v>0</v>
      </c>
      <c r="G79" s="5">
        <f t="shared" ref="G79" si="17">IF(F79&lt;50, 0, IF(F79&lt;53, 1, IF(F79&lt;57, 1.4, IF(F79&lt;61, 1.8, IF(F79&lt;64, 2, IF(F79&lt;68, 2.4, IF(F79&lt;71, 2.8, IF(F79&lt;75, 3, IF(F79&lt;80, 3.4, IF(F79&lt;85, 3.8, 4))))))))))</f>
        <v>0</v>
      </c>
      <c r="H79" s="5" t="str">
        <f t="shared" ref="H79" si="18">IF(F79&lt;50,"FAILS",IF(F79&lt;53,"D",IF(F79&lt;57,"D+",IF(F79&lt;61,"C-",IF(F79&lt;64,"C",IF(F79&lt;68,"C+",IF(F79&lt;71,"B-",IF(F79&lt;75,"B",IF(F79&lt;80,"B+",IF(F79&lt;85,"A-",IF(F79&lt;90,"A","A+")))))))))))</f>
        <v>FAILS</v>
      </c>
      <c r="I79" s="18">
        <f>ROUND(AVERAGE(G79:G84),2)</f>
        <v>0</v>
      </c>
    </row>
    <row r="80" spans="1:9" ht="15.75" customHeight="1" x14ac:dyDescent="0.3">
      <c r="A80" s="8" t="s">
        <v>86</v>
      </c>
      <c r="B80" s="4" t="s">
        <v>134</v>
      </c>
      <c r="C80" s="4" t="s">
        <v>133</v>
      </c>
      <c r="D80" s="5">
        <v>0</v>
      </c>
      <c r="E80" s="5">
        <v>0</v>
      </c>
      <c r="F80" s="5">
        <f>(D80+E80)</f>
        <v>0</v>
      </c>
      <c r="G80" s="5">
        <f>IF(F80&lt;50, 0, IF(F80&lt;53, 1, IF(F80&lt;57, 1.4, IF(F80&lt;61, 1.8, IF(F80&lt;64, 2, IF(F80&lt;68, 2.4, IF(F80&lt;71, 2.8, IF(F80&lt;75, 3, IF(F80&lt;80, 3.4, IF(F80&lt;85, 3.8, 4))))))))))</f>
        <v>0</v>
      </c>
      <c r="H80" s="5" t="str">
        <f>IF(F80&lt;50,"FAILS",IF(F80&lt;53,"D",IF(F80&lt;57,"D+",IF(F80&lt;61,"C-",IF(F80&lt;64,"C",IF(F80&lt;68,"C+",IF(F80&lt;71,"B-",IF(F80&lt;75,"B",IF(F80&lt;80,"B+",IF(F80&lt;85,"A-",IF(F80&lt;90,"A","A+")))))))))))</f>
        <v>FAILS</v>
      </c>
      <c r="I80" s="19"/>
    </row>
    <row r="81" spans="1:9" ht="15.75" customHeight="1" x14ac:dyDescent="0.3">
      <c r="A81" s="8" t="s">
        <v>86</v>
      </c>
      <c r="B81" s="4" t="s">
        <v>135</v>
      </c>
      <c r="C81" s="4" t="s">
        <v>136</v>
      </c>
      <c r="D81" s="5">
        <v>0</v>
      </c>
      <c r="E81" s="5">
        <v>0</v>
      </c>
      <c r="F81" s="5">
        <f>(D81+E81)</f>
        <v>0</v>
      </c>
      <c r="G81" s="5">
        <f>IF(F81&lt;50, 0, IF(F81&lt;53, 1, IF(F81&lt;57, 1.4, IF(F81&lt;61, 1.8, IF(F81&lt;64, 2, IF(F81&lt;68, 2.4, IF(F81&lt;71, 2.8, IF(F81&lt;75, 3, IF(F81&lt;80, 3.4, IF(F81&lt;85, 3.8, 4))))))))))</f>
        <v>0</v>
      </c>
      <c r="H81" s="5" t="str">
        <f>IF(F81&lt;50,"FAILS",IF(F81&lt;53,"D",IF(F81&lt;57,"D+",IF(F81&lt;61,"C-",IF(F81&lt;64,"C",IF(F81&lt;68,"C+",IF(F81&lt;71,"B-",IF(F81&lt;75,"B",IF(F81&lt;80,"B+",IF(F81&lt;85,"A-",IF(F81&lt;90,"A","A+")))))))))))</f>
        <v>FAILS</v>
      </c>
      <c r="I81" s="19"/>
    </row>
    <row r="82" spans="1:9" ht="15.75" customHeight="1" x14ac:dyDescent="0.3">
      <c r="A82" s="8" t="s">
        <v>86</v>
      </c>
      <c r="B82" s="4" t="s">
        <v>137</v>
      </c>
      <c r="C82" s="4" t="s">
        <v>138</v>
      </c>
      <c r="D82" s="5">
        <v>0</v>
      </c>
      <c r="E82" s="5">
        <v>0</v>
      </c>
      <c r="F82" s="5">
        <f>(D82+E82)</f>
        <v>0</v>
      </c>
      <c r="G82" s="5">
        <f>IF(F82&lt;50, 0, IF(F82&lt;53, 1, IF(F82&lt;57, 1.4, IF(F82&lt;61, 1.8, IF(F82&lt;64, 2, IF(F82&lt;68, 2.4, IF(F82&lt;71, 2.8, IF(F82&lt;75, 3, IF(F82&lt;80, 3.4, IF(F82&lt;85, 3.8, 4))))))))))</f>
        <v>0</v>
      </c>
      <c r="H82" s="5" t="str">
        <f>IF(F82&lt;50,"FAILS",IF(F82&lt;53,"D",IF(F82&lt;57,"D+",IF(F82&lt;61,"C-",IF(F82&lt;64,"C",IF(F82&lt;68,"C+",IF(F82&lt;71,"B-",IF(F82&lt;75,"B",IF(F82&lt;80,"B+",IF(F82&lt;85,"A-",IF(F82&lt;90,"A","A+")))))))))))</f>
        <v>FAILS</v>
      </c>
      <c r="I82" s="19"/>
    </row>
    <row r="83" spans="1:9" ht="15.75" customHeight="1" x14ac:dyDescent="0.3">
      <c r="A83" s="8" t="s">
        <v>86</v>
      </c>
      <c r="B83" s="4" t="s">
        <v>139</v>
      </c>
      <c r="C83" s="4" t="s">
        <v>140</v>
      </c>
      <c r="D83" s="5">
        <v>0</v>
      </c>
      <c r="E83" s="5">
        <v>0</v>
      </c>
      <c r="F83" s="5">
        <f>(D83+E83)</f>
        <v>0</v>
      </c>
      <c r="G83" s="5">
        <f>IF(F83&lt;50, 0, IF(F83&lt;53, 1, IF(F83&lt;57, 1.4, IF(F83&lt;61, 1.8, IF(F83&lt;64, 2, IF(F83&lt;68, 2.4, IF(F83&lt;71, 2.8, IF(F83&lt;75, 3, IF(F83&lt;80, 3.4, IF(F83&lt;85, 3.8, 4))))))))))</f>
        <v>0</v>
      </c>
      <c r="H83" s="5" t="str">
        <f>IF(F83&lt;50,"FAILS",IF(F83&lt;53,"D",IF(F83&lt;57,"D+",IF(F83&lt;61,"C-",IF(F83&lt;64,"C",IF(F83&lt;68,"C+",IF(F83&lt;71,"B-",IF(F83&lt;75,"B",IF(F83&lt;80,"B+",IF(F83&lt;85,"A-",IF(F83&lt;90,"A","A+")))))))))))</f>
        <v>FAILS</v>
      </c>
      <c r="I83" s="19"/>
    </row>
    <row r="84" spans="1:9" ht="15.75" customHeight="1" x14ac:dyDescent="0.3">
      <c r="A84" s="8" t="s">
        <v>86</v>
      </c>
      <c r="B84" s="4" t="s">
        <v>141</v>
      </c>
      <c r="C84" s="8"/>
      <c r="D84" s="5">
        <v>0</v>
      </c>
      <c r="E84" s="5">
        <v>0</v>
      </c>
      <c r="F84" s="5">
        <f>(D84+E84)</f>
        <v>0</v>
      </c>
      <c r="G84" s="5">
        <f>IF(F84&lt;50, 0, IF(F84&lt;53, 1, IF(F84&lt;57, 1.4, IF(F84&lt;61, 1.8, IF(F84&lt;64, 2, IF(F84&lt;68, 2.4, IF(F84&lt;71, 2.8, IF(F84&lt;75, 3, IF(F84&lt;80, 3.4, IF(F84&lt;85, 3.8, 4))))))))))</f>
        <v>0</v>
      </c>
      <c r="H84" s="5" t="str">
        <f>IF(F84&lt;50,"FAILS",IF(F84&lt;53,"D",IF(F84&lt;57,"D+",IF(F84&lt;61,"C-",IF(F84&lt;64,"C",IF(F84&lt;68,"C+",IF(F84&lt;71,"B-",IF(F84&lt;75,"B",IF(F84&lt;80,"B+",IF(F84&lt;85,"A-",IF(F84&lt;90,"A","A+")))))))))))</f>
        <v>FAILS</v>
      </c>
      <c r="I84" s="20"/>
    </row>
    <row r="85" spans="1:9" ht="15.75" customHeight="1" x14ac:dyDescent="0.3"/>
    <row r="86" spans="1:9" ht="15.75" customHeight="1" x14ac:dyDescent="0.3"/>
    <row r="87" spans="1:9" ht="15.75" customHeight="1" x14ac:dyDescent="0.3"/>
    <row r="88" spans="1:9" ht="15.75" customHeight="1" x14ac:dyDescent="0.3"/>
    <row r="89" spans="1:9" ht="15.75" customHeight="1" x14ac:dyDescent="0.3"/>
    <row r="90" spans="1:9" ht="15.75" customHeight="1" x14ac:dyDescent="0.3"/>
    <row r="91" spans="1:9" ht="15.75" customHeight="1" x14ac:dyDescent="0.3"/>
    <row r="92" spans="1:9" ht="15.75" customHeight="1" x14ac:dyDescent="0.3"/>
    <row r="93" spans="1:9" ht="15.75" customHeight="1" x14ac:dyDescent="0.3"/>
    <row r="94" spans="1:9" ht="15.75" customHeight="1" x14ac:dyDescent="0.3"/>
    <row r="95" spans="1:9" ht="15.75" customHeight="1" x14ac:dyDescent="0.3"/>
    <row r="96" spans="1:9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0">
    <mergeCell ref="A66:I67"/>
    <mergeCell ref="I69:I74"/>
    <mergeCell ref="A76:I77"/>
    <mergeCell ref="I79:I84"/>
    <mergeCell ref="A56:I57"/>
    <mergeCell ref="I59:I64"/>
    <mergeCell ref="A46:I47"/>
    <mergeCell ref="I49:I54"/>
    <mergeCell ref="A1:I3"/>
    <mergeCell ref="A4:I4"/>
    <mergeCell ref="A5:I6"/>
    <mergeCell ref="I8:I14"/>
    <mergeCell ref="A15:I15"/>
    <mergeCell ref="A16:I17"/>
    <mergeCell ref="I19:I24"/>
    <mergeCell ref="A25:I25"/>
    <mergeCell ref="A26:I27"/>
    <mergeCell ref="I29:I34"/>
    <mergeCell ref="A36:I37"/>
    <mergeCell ref="I39:I44"/>
  </mergeCells>
  <conditionalFormatting sqref="H8:H14">
    <cfRule type="cellIs" dxfId="7" priority="4" operator="equal">
      <formula>"FAILS"</formula>
    </cfRule>
  </conditionalFormatting>
  <conditionalFormatting sqref="H19:H24">
    <cfRule type="cellIs" dxfId="6" priority="5" operator="equal">
      <formula>"FAILS"</formula>
    </cfRule>
  </conditionalFormatting>
  <conditionalFormatting sqref="H29:H34">
    <cfRule type="cellIs" dxfId="5" priority="6" operator="equal">
      <formula>"FAILS"</formula>
    </cfRule>
  </conditionalFormatting>
  <conditionalFormatting sqref="H39:H44">
    <cfRule type="cellIs" dxfId="4" priority="7" operator="equal">
      <formula>"FAILS"</formula>
    </cfRule>
  </conditionalFormatting>
  <conditionalFormatting sqref="H49:H54">
    <cfRule type="cellIs" dxfId="3" priority="8" operator="equal">
      <formula>"FAILS"</formula>
    </cfRule>
  </conditionalFormatting>
  <conditionalFormatting sqref="H59:H64">
    <cfRule type="cellIs" dxfId="2" priority="3" operator="equal">
      <formula>"FAILS"</formula>
    </cfRule>
  </conditionalFormatting>
  <conditionalFormatting sqref="H69:H74">
    <cfRule type="cellIs" dxfId="1" priority="2" operator="equal">
      <formula>"FAILS"</formula>
    </cfRule>
  </conditionalFormatting>
  <conditionalFormatting sqref="H79:H84">
    <cfRule type="cellIs" dxfId="0" priority="1" operator="equal">
      <formula>"FAILS"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Uddin</dc:creator>
  <cp:lastModifiedBy>Home</cp:lastModifiedBy>
  <dcterms:created xsi:type="dcterms:W3CDTF">2020-02-10T02:56:55Z</dcterms:created>
  <dcterms:modified xsi:type="dcterms:W3CDTF">2026-01-20T08:06:13Z</dcterms:modified>
</cp:coreProperties>
</file>